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35" windowWidth="13260" windowHeight="6420"/>
  </bookViews>
  <sheets>
    <sheet name="Logic" sheetId="1" r:id="rId1"/>
    <sheet name="Temp" sheetId="6" r:id="rId2"/>
  </sheets>
  <functionGroups builtInGroupCount="17"/>
  <calcPr calcId="145621"/>
</workbook>
</file>

<file path=xl/calcChain.xml><?xml version="1.0" encoding="utf-8"?>
<calcChain xmlns="http://schemas.openxmlformats.org/spreadsheetml/2006/main">
  <c r="G60" i="1" l="1"/>
  <c r="G61" i="1" s="1"/>
  <c r="H61" i="1" s="1"/>
  <c r="H55" i="1"/>
  <c r="H54" i="1"/>
  <c r="H53" i="1"/>
  <c r="K50" i="1"/>
  <c r="J45" i="1"/>
  <c r="K45" i="1" s="1"/>
  <c r="G45" i="1"/>
  <c r="H45" i="1" s="1"/>
  <c r="J44" i="1"/>
  <c r="K44" i="1" s="1"/>
  <c r="G44" i="1"/>
  <c r="H44" i="1" s="1"/>
  <c r="H38" i="1"/>
  <c r="H37" i="1"/>
  <c r="H36" i="1"/>
  <c r="H5" i="1"/>
  <c r="H4" i="1"/>
  <c r="E66" i="1"/>
  <c r="E65" i="1"/>
  <c r="E64" i="1"/>
  <c r="E63" i="1"/>
  <c r="E62" i="1"/>
  <c r="E61" i="1"/>
  <c r="E60" i="1"/>
  <c r="E59" i="1"/>
  <c r="E58" i="1"/>
  <c r="E57" i="1"/>
  <c r="E56" i="1"/>
  <c r="E55" i="1"/>
  <c r="E54" i="1"/>
  <c r="E53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37" i="1"/>
  <c r="B36" i="1"/>
  <c r="B3" i="1"/>
  <c r="H20" i="1" s="1"/>
  <c r="C4" i="1"/>
  <c r="C37" i="1" s="1"/>
  <c r="C5" i="1"/>
  <c r="C38" i="1" s="1"/>
  <c r="C6" i="1"/>
  <c r="C39" i="1" s="1"/>
  <c r="C7" i="1"/>
  <c r="C40" i="1" s="1"/>
  <c r="C8" i="1"/>
  <c r="C41" i="1" s="1"/>
  <c r="C9" i="1"/>
  <c r="C42" i="1" s="1"/>
  <c r="C10" i="1"/>
  <c r="C43" i="1" s="1"/>
  <c r="C11" i="1"/>
  <c r="C44" i="1" s="1"/>
  <c r="C12" i="1"/>
  <c r="C45" i="1" s="1"/>
  <c r="C13" i="1"/>
  <c r="C46" i="1" s="1"/>
  <c r="C14" i="1"/>
  <c r="C47" i="1" s="1"/>
  <c r="C15" i="1"/>
  <c r="C48" i="1" s="1"/>
  <c r="C16" i="1"/>
  <c r="C49" i="1" s="1"/>
  <c r="C17" i="1"/>
  <c r="C50" i="1" s="1"/>
  <c r="C20" i="1"/>
  <c r="C53" i="1" s="1"/>
  <c r="K17" i="1"/>
  <c r="C21" i="1"/>
  <c r="C54" i="1" s="1"/>
  <c r="C22" i="1"/>
  <c r="C55" i="1" s="1"/>
  <c r="H22" i="1"/>
  <c r="C23" i="1"/>
  <c r="C56" i="1" s="1"/>
  <c r="C24" i="1"/>
  <c r="C57" i="1" s="1"/>
  <c r="C25" i="1"/>
  <c r="C58" i="1" s="1"/>
  <c r="C26" i="1"/>
  <c r="C59" i="1" s="1"/>
  <c r="C27" i="1"/>
  <c r="C60" i="1" s="1"/>
  <c r="C28" i="1"/>
  <c r="C61" i="1" s="1"/>
  <c r="C29" i="1"/>
  <c r="C62" i="1" s="1"/>
  <c r="C30" i="1"/>
  <c r="C63" i="1" s="1"/>
  <c r="C31" i="1"/>
  <c r="C64" i="1" s="1"/>
  <c r="C32" i="1"/>
  <c r="C65" i="1" s="1"/>
  <c r="C33" i="1"/>
  <c r="C66" i="1" s="1"/>
  <c r="M51" i="1"/>
  <c r="I38" i="1"/>
  <c r="I37" i="1"/>
  <c r="M50" i="1"/>
  <c r="M52" i="1"/>
  <c r="D6" i="1"/>
  <c r="D25" i="1"/>
  <c r="D28" i="1"/>
  <c r="D15" i="1"/>
  <c r="D20" i="1"/>
  <c r="D31" i="1"/>
  <c r="D4" i="1"/>
  <c r="D7" i="1"/>
  <c r="D12" i="1"/>
  <c r="D13" i="1"/>
  <c r="D21" i="1"/>
  <c r="D32" i="1"/>
  <c r="D17" i="1"/>
  <c r="M18" i="1"/>
  <c r="D11" i="1"/>
  <c r="D16" i="1"/>
  <c r="D8" i="1"/>
  <c r="D22" i="1"/>
  <c r="D27" i="1"/>
  <c r="D29" i="1"/>
  <c r="D24" i="1"/>
  <c r="D23" i="1"/>
  <c r="M19" i="1"/>
  <c r="D5" i="1"/>
  <c r="D30" i="1"/>
  <c r="D33" i="1"/>
  <c r="D9" i="1"/>
  <c r="D26" i="1"/>
  <c r="D14" i="1"/>
  <c r="D10" i="1"/>
  <c r="K42" i="1"/>
  <c r="H42" i="1"/>
  <c r="H40" i="1" l="1"/>
  <c r="N50" i="1"/>
  <c r="H60" i="1"/>
  <c r="D43" i="1"/>
  <c r="D47" i="1"/>
  <c r="D59" i="1"/>
  <c r="D42" i="1"/>
  <c r="D66" i="1"/>
  <c r="D63" i="1"/>
  <c r="D38" i="1"/>
  <c r="D56" i="1"/>
  <c r="D57" i="1"/>
  <c r="D62" i="1"/>
  <c r="D60" i="1"/>
  <c r="D55" i="1"/>
  <c r="D41" i="1"/>
  <c r="D49" i="1"/>
  <c r="D44" i="1"/>
  <c r="D50" i="1"/>
  <c r="D65" i="1"/>
  <c r="D54" i="1"/>
  <c r="D46" i="1"/>
  <c r="D45" i="1"/>
  <c r="D40" i="1"/>
  <c r="D37" i="1"/>
  <c r="D64" i="1"/>
  <c r="D53" i="1"/>
  <c r="D48" i="1"/>
  <c r="D61" i="1"/>
  <c r="D58" i="1"/>
  <c r="D39" i="1"/>
  <c r="H21" i="1"/>
  <c r="J11" i="1"/>
  <c r="G27" i="1"/>
  <c r="G11" i="1"/>
  <c r="H3" i="1"/>
  <c r="I5" i="1"/>
  <c r="I4" i="1"/>
  <c r="M17" i="1"/>
  <c r="H58" i="1"/>
  <c r="K51" i="1" l="1"/>
  <c r="N51" i="1" s="1"/>
  <c r="K52" i="1"/>
  <c r="N52" i="1" s="1"/>
  <c r="N17" i="1"/>
  <c r="G12" i="1"/>
  <c r="H12" i="1" s="1"/>
  <c r="H11" i="1"/>
  <c r="J12" i="1"/>
  <c r="K12" i="1" s="1"/>
  <c r="K11" i="1"/>
  <c r="G28" i="1"/>
  <c r="H28" i="1" s="1"/>
  <c r="H27" i="1"/>
  <c r="K58" i="1"/>
  <c r="K9" i="1"/>
  <c r="H25" i="1"/>
  <c r="K18" i="1" l="1"/>
  <c r="N18" i="1" s="1"/>
  <c r="H9" i="1"/>
  <c r="H7" i="1" l="1"/>
  <c r="K19" i="1" l="1"/>
  <c r="N19" i="1" s="1"/>
  <c r="K25" i="1"/>
  <c r="R3" i="1" l="1"/>
</calcChain>
</file>

<file path=xl/comments1.xml><?xml version="1.0" encoding="utf-8"?>
<comments xmlns="http://schemas.openxmlformats.org/spreadsheetml/2006/main">
  <authors>
    <author>user</author>
  </authors>
  <commentList>
    <comment ref="B20" authorId="0">
      <text>
        <r>
          <rPr>
            <b/>
            <sz val="9"/>
            <color indexed="81"/>
            <rFont val="Tahoma"/>
            <family val="2"/>
            <charset val="238"/>
          </rPr>
          <t>user:</t>
        </r>
        <r>
          <rPr>
            <sz val="9"/>
            <color indexed="81"/>
            <rFont val="Tahoma"/>
            <family val="2"/>
            <charset val="238"/>
          </rPr>
          <t xml:space="preserve">
Od kiedy obowiązuje ta stawka, od dziś do chwili SPOT?</t>
        </r>
      </text>
    </comment>
  </commentList>
</comments>
</file>

<file path=xl/sharedStrings.xml><?xml version="1.0" encoding="utf-8"?>
<sst xmlns="http://schemas.openxmlformats.org/spreadsheetml/2006/main" count="135" uniqueCount="59">
  <si>
    <t>PL3_SN</t>
  </si>
  <si>
    <t>PL3_1M</t>
  </si>
  <si>
    <t>PL3_2M</t>
  </si>
  <si>
    <t>PL3_3M</t>
  </si>
  <si>
    <t>PL3_6M</t>
  </si>
  <si>
    <t>PL3_9M</t>
  </si>
  <si>
    <t>PL3_1Y</t>
  </si>
  <si>
    <t>PL3_2Y</t>
  </si>
  <si>
    <t>PL3_3Y</t>
  </si>
  <si>
    <t>PL3_4Y</t>
  </si>
  <si>
    <t>PL3_5Y</t>
  </si>
  <si>
    <t>PL3_7Y</t>
  </si>
  <si>
    <t>PL3_10Y</t>
  </si>
  <si>
    <t>PL3_20Y</t>
  </si>
  <si>
    <t>Date</t>
  </si>
  <si>
    <t>Rate</t>
  </si>
  <si>
    <t>TradeDate</t>
  </si>
  <si>
    <t>ValueDate</t>
  </si>
  <si>
    <t>Nominal</t>
  </si>
  <si>
    <t>Currency</t>
  </si>
  <si>
    <t>Buy/Sell</t>
  </si>
  <si>
    <t>RecFixingDate</t>
  </si>
  <si>
    <t>PLN</t>
  </si>
  <si>
    <t>Buy</t>
  </si>
  <si>
    <t>Forward curve</t>
  </si>
  <si>
    <t>Discount curve</t>
  </si>
  <si>
    <t>PLN_SN</t>
  </si>
  <si>
    <t>PLN_1M</t>
  </si>
  <si>
    <t>PLN_2M</t>
  </si>
  <si>
    <t>PLN_3M</t>
  </si>
  <si>
    <t>PLN_6M</t>
  </si>
  <si>
    <t>PLN_9M</t>
  </si>
  <si>
    <t>PLN_1Y</t>
  </si>
  <si>
    <t>PLN_2Y</t>
  </si>
  <si>
    <t>PLN_3Y</t>
  </si>
  <si>
    <t>PLN_4Y</t>
  </si>
  <si>
    <t>PLN_5Y</t>
  </si>
  <si>
    <t>PLN_7Y</t>
  </si>
  <si>
    <t>PLN_10Y</t>
  </si>
  <si>
    <t>PLN_20Y</t>
  </si>
  <si>
    <t>VALUATION DATE</t>
  </si>
  <si>
    <t>SPOT DATE</t>
  </si>
  <si>
    <t>YF</t>
  </si>
  <si>
    <t>DF_i</t>
  </si>
  <si>
    <t>DF_1</t>
  </si>
  <si>
    <t>DayCount</t>
  </si>
  <si>
    <t>ACT/365</t>
  </si>
  <si>
    <t>DF</t>
  </si>
  <si>
    <t>Rate on CF Date</t>
  </si>
  <si>
    <t>T_i</t>
  </si>
  <si>
    <t>T_j</t>
  </si>
  <si>
    <t>Maturity Date</t>
  </si>
  <si>
    <t>VALUE DATE</t>
  </si>
  <si>
    <t>MATURITY DATE</t>
  </si>
  <si>
    <t>Forward Rate</t>
  </si>
  <si>
    <t>VALUE</t>
  </si>
  <si>
    <t>DF_i,j</t>
  </si>
  <si>
    <t>NPV</t>
  </si>
  <si>
    <t>BPV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</si>
</sst>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43" formatCode="_-* #,##0.00\ _z_ł_-;\-* #,##0.00\ _z_ł_-;_-* &quot;-&quot;??\ _z_ł_-;_-@_-"/>
    <numFmt numFmtId="164" formatCode="_-* #,##0.000\ _z_ł_-;\-* #,##0.000\ _z_ł_-;_-* &quot;-&quot;??\ _z_ł_-;_-@_-"/>
    <numFmt numFmtId="165" formatCode="_-* #,##0.0000\ _z_ł_-;\-* #,##0.0000\ _z_ł_-;_-* &quot;-&quot;??\ _z_ł_-;_-@_-"/>
    <numFmt numFmtId="166" formatCode="_-* #,##0.00000\ _z_ł_-;\-* #,##0.00000\ _z_ł_-;_-* &quot;-&quot;??\ _z_ł_-;_-@_-"/>
    <numFmt numFmtId="167" formatCode="_-* #,##0.000000000\ _z_ł_-;\-* #,##0.000000000\ _z_ł_-;_-* &quot;-&quot;??\ _z_ł_-;_-@_-"/>
    <numFmt numFmtId="168" formatCode="0.000000"/>
    <numFmt numFmtId="169" formatCode="0.00000000000"/>
    <numFmt numFmtId="170" formatCode="0.00000000000000"/>
    <numFmt numFmtId="171" formatCode="_-* #,##0.00000000000\ _z_ł_-;\-* #,##0.00000000000\ _z_ł_-;_-* &quot;-&quot;??\ _z_ł_-;_-@_-"/>
    <numFmt numFmtId="172" formatCode="_-* #,##0.000000000000\ _z_ł_-;\-* #,##0.000000000000\ _z_ł_-;_-* &quot;-&quot;??\ _z_ł_-;_-@_-"/>
    <numFmt numFmtId="173" formatCode="_-* #,##0.00000000000000000\ _z_ł_-;\-* #,##0.00000000000000000\ _z_ł_-;_-* &quot;-&quot;??\ _z_ł_-;_-@_-"/>
  </numFmts>
  <fonts count="23">
    <font>
      <sz val="10"/>
      <name val="Arial"/>
      <charset val="238"/>
    </font>
    <font>
      <sz val="10"/>
      <name val="Arial"/>
      <family val="2"/>
      <charset val="238"/>
    </font>
    <font>
      <sz val="8"/>
      <name val="Arial"/>
      <family val="2"/>
      <charset val="238"/>
    </font>
    <font>
      <sz val="11"/>
      <color indexed="8"/>
      <name val="Czcionka tekstu podstawowego"/>
      <family val="2"/>
      <charset val="238"/>
    </font>
    <font>
      <sz val="11"/>
      <color indexed="62"/>
      <name val="Czcionka tekstu podstawowego"/>
      <family val="2"/>
      <charset val="238"/>
    </font>
    <font>
      <b/>
      <sz val="11"/>
      <color indexed="63"/>
      <name val="Czcionka tekstu podstawowego"/>
      <family val="2"/>
      <charset val="238"/>
    </font>
    <font>
      <b/>
      <sz val="10"/>
      <name val="Arial"/>
      <family val="2"/>
      <charset val="238"/>
    </font>
    <font>
      <sz val="10"/>
      <name val="Arial"/>
      <family val="2"/>
      <charset val="238"/>
    </font>
    <font>
      <b/>
      <sz val="11"/>
      <color indexed="8"/>
      <name val="Czcionka tekstu podstawowego"/>
      <charset val="238"/>
    </font>
    <font>
      <sz val="14"/>
      <name val="Arial"/>
      <family val="2"/>
      <charset val="238"/>
    </font>
    <font>
      <sz val="11"/>
      <color indexed="8"/>
      <name val="Czcionka tekstu podstawowego"/>
      <charset val="238"/>
    </font>
    <font>
      <sz val="9"/>
      <color indexed="81"/>
      <name val="Tahoma"/>
      <family val="2"/>
      <charset val="238"/>
    </font>
    <font>
      <b/>
      <sz val="9"/>
      <color indexed="81"/>
      <name val="Tahoma"/>
      <family val="2"/>
      <charset val="238"/>
    </font>
    <font>
      <b/>
      <sz val="11"/>
      <color indexed="8"/>
      <name val="Czcionka tekstu podstawowego"/>
      <charset val="238"/>
    </font>
    <font>
      <sz val="11"/>
      <color indexed="10"/>
      <name val="Czcionka tekstu podstawowego"/>
      <family val="2"/>
      <charset val="238"/>
    </font>
    <font>
      <b/>
      <sz val="11"/>
      <color indexed="10"/>
      <name val="Czcionka tekstu podstawowego"/>
      <charset val="238"/>
    </font>
    <font>
      <sz val="8"/>
      <name val="Arial"/>
      <family val="2"/>
      <charset val="238"/>
    </font>
    <font>
      <sz val="11"/>
      <color rgb="FF006100"/>
      <name val="Calibri"/>
      <family val="2"/>
      <charset val="238"/>
      <scheme val="minor"/>
    </font>
    <font>
      <sz val="11"/>
      <color rgb="FFFA7D00"/>
      <name val="Calibri"/>
      <family val="2"/>
      <charset val="238"/>
      <scheme val="minor"/>
    </font>
    <font>
      <sz val="11"/>
      <color rgb="FFFF0000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b/>
      <sz val="12"/>
      <name val="Arial"/>
      <family val="2"/>
      <charset val="238"/>
    </font>
    <font>
      <b/>
      <sz val="20"/>
      <name val="Arial"/>
      <family val="2"/>
      <charset val="238"/>
    </font>
  </fonts>
  <fills count="5">
    <fill>
      <patternFill patternType="none"/>
    </fill>
    <fill>
      <patternFill patternType="gray125"/>
    </fill>
    <fill>
      <patternFill patternType="solid">
        <fgColor indexed="47"/>
      </patternFill>
    </fill>
    <fill>
      <patternFill patternType="solid">
        <fgColor indexed="22"/>
      </patternFill>
    </fill>
    <fill>
      <patternFill patternType="solid">
        <fgColor rgb="FFC6EFCE"/>
      </patternFill>
    </fill>
  </fills>
  <borders count="26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</borders>
  <cellStyleXfs count="10">
    <xf numFmtId="0" fontId="0" fillId="0" borderId="0"/>
    <xf numFmtId="43" fontId="1" fillId="0" borderId="0" applyFont="0" applyFill="0" applyBorder="0" applyAlignment="0" applyProtection="0"/>
    <xf numFmtId="0" fontId="4" fillId="2" borderId="1" applyNumberFormat="0" applyAlignment="0" applyProtection="0"/>
    <xf numFmtId="0" fontId="5" fillId="3" borderId="2" applyNumberFormat="0" applyAlignment="0" applyProtection="0"/>
    <xf numFmtId="0" fontId="3" fillId="0" borderId="0"/>
    <xf numFmtId="9" fontId="1" fillId="0" borderId="0" applyFont="0" applyFill="0" applyBorder="0" applyAlignment="0" applyProtection="0"/>
    <xf numFmtId="0" fontId="17" fillId="4" borderId="0" applyNumberFormat="0" applyBorder="0" applyAlignment="0" applyProtection="0"/>
    <xf numFmtId="0" fontId="18" fillId="0" borderId="16" applyNumberFormat="0" applyFill="0" applyAlignment="0" applyProtection="0"/>
    <xf numFmtId="0" fontId="19" fillId="0" borderId="0" applyNumberFormat="0" applyFill="0" applyBorder="0" applyAlignment="0" applyProtection="0"/>
    <xf numFmtId="0" fontId="20" fillId="0" borderId="17" applyNumberFormat="0" applyFill="0" applyAlignment="0" applyProtection="0"/>
  </cellStyleXfs>
  <cellXfs count="88">
    <xf numFmtId="0" fontId="0" fillId="0" borderId="0" xfId="0"/>
    <xf numFmtId="14" fontId="3" fillId="0" borderId="0" xfId="4" applyNumberFormat="1" applyAlignment="1">
      <alignment horizontal="center" vertical="center" wrapText="1"/>
    </xf>
    <xf numFmtId="14" fontId="13" fillId="0" borderId="3" xfId="0" applyNumberFormat="1" applyFont="1" applyBorder="1"/>
    <xf numFmtId="1" fontId="3" fillId="0" borderId="3" xfId="4" applyNumberFormat="1" applyBorder="1"/>
    <xf numFmtId="14" fontId="0" fillId="0" borderId="3" xfId="0" applyNumberFormat="1" applyBorder="1"/>
    <xf numFmtId="14" fontId="0" fillId="0" borderId="4" xfId="0" applyNumberFormat="1" applyBorder="1"/>
    <xf numFmtId="2" fontId="14" fillId="0" borderId="5" xfId="0" applyNumberFormat="1" applyFont="1" applyBorder="1"/>
    <xf numFmtId="14" fontId="0" fillId="0" borderId="6" xfId="0" applyNumberFormat="1" applyBorder="1"/>
    <xf numFmtId="2" fontId="14" fillId="0" borderId="7" xfId="0" applyNumberFormat="1" applyFont="1" applyBorder="1"/>
    <xf numFmtId="14" fontId="8" fillId="0" borderId="8" xfId="4" applyNumberFormat="1" applyFont="1" applyBorder="1" applyAlignment="1">
      <alignment horizontal="center" vertical="center" wrapText="1"/>
    </xf>
    <xf numFmtId="14" fontId="3" fillId="0" borderId="9" xfId="4" applyNumberFormat="1" applyBorder="1" applyAlignment="1">
      <alignment horizontal="center" vertical="center" wrapText="1"/>
    </xf>
    <xf numFmtId="14" fontId="3" fillId="0" borderId="10" xfId="4" applyNumberFormat="1" applyBorder="1" applyAlignment="1">
      <alignment horizontal="center" vertical="center" wrapText="1"/>
    </xf>
    <xf numFmtId="0" fontId="0" fillId="0" borderId="0" xfId="0" applyAlignment="1">
      <alignment vertical="center"/>
    </xf>
    <xf numFmtId="171" fontId="15" fillId="0" borderId="11" xfId="1" applyNumberFormat="1" applyFont="1" applyBorder="1" applyAlignment="1">
      <alignment horizontal="center" vertical="center" wrapText="1"/>
    </xf>
    <xf numFmtId="172" fontId="15" fillId="0" borderId="0" xfId="1" applyNumberFormat="1" applyFont="1" applyBorder="1" applyAlignment="1">
      <alignment horizontal="center" vertical="center" wrapText="1"/>
    </xf>
    <xf numFmtId="0" fontId="6" fillId="0" borderId="9" xfId="0" applyFont="1" applyBorder="1" applyAlignment="1">
      <alignment vertical="center" wrapText="1"/>
    </xf>
    <xf numFmtId="0" fontId="6" fillId="0" borderId="12" xfId="0" applyFont="1" applyBorder="1" applyAlignment="1">
      <alignment vertical="center" wrapText="1"/>
    </xf>
    <xf numFmtId="0" fontId="6" fillId="0" borderId="10" xfId="0" applyFont="1" applyBorder="1" applyAlignment="1">
      <alignment vertical="center" wrapText="1"/>
    </xf>
    <xf numFmtId="14" fontId="0" fillId="0" borderId="13" xfId="0" applyNumberFormat="1" applyBorder="1"/>
    <xf numFmtId="14" fontId="8" fillId="0" borderId="14" xfId="4" applyNumberFormat="1" applyFont="1" applyBorder="1" applyAlignment="1">
      <alignment vertical="center" wrapText="1"/>
    </xf>
    <xf numFmtId="10" fontId="15" fillId="0" borderId="0" xfId="5" applyNumberFormat="1" applyFont="1" applyBorder="1" applyAlignment="1">
      <alignment horizontal="center" vertical="center" wrapText="1"/>
    </xf>
    <xf numFmtId="169" fontId="15" fillId="0" borderId="15" xfId="1" applyNumberFormat="1" applyFont="1" applyBorder="1" applyAlignment="1">
      <alignment horizontal="center" vertical="center" wrapText="1"/>
    </xf>
    <xf numFmtId="0" fontId="14" fillId="0" borderId="3" xfId="0" applyFont="1" applyBorder="1"/>
    <xf numFmtId="168" fontId="14" fillId="0" borderId="3" xfId="0" applyNumberFormat="1" applyFont="1" applyBorder="1"/>
    <xf numFmtId="0" fontId="0" fillId="0" borderId="18" xfId="0" applyBorder="1"/>
    <xf numFmtId="14" fontId="8" fillId="0" borderId="18" xfId="4" applyNumberFormat="1" applyFont="1" applyBorder="1" applyAlignment="1">
      <alignment horizontal="center" vertical="center" wrapText="1"/>
    </xf>
    <xf numFmtId="14" fontId="3" fillId="0" borderId="18" xfId="4" applyNumberFormat="1" applyBorder="1" applyAlignment="1">
      <alignment horizontal="center" vertical="center" wrapText="1"/>
    </xf>
    <xf numFmtId="0" fontId="0" fillId="0" borderId="0" xfId="0" applyBorder="1"/>
    <xf numFmtId="14" fontId="3" fillId="0" borderId="0" xfId="4" applyNumberFormat="1" applyBorder="1" applyAlignment="1">
      <alignment horizontal="center" vertical="center" wrapText="1"/>
    </xf>
    <xf numFmtId="166" fontId="3" fillId="0" borderId="0" xfId="1" applyNumberFormat="1" applyFont="1" applyBorder="1" applyAlignment="1">
      <alignment horizontal="center" vertical="center" wrapText="1"/>
    </xf>
    <xf numFmtId="0" fontId="3" fillId="0" borderId="20" xfId="4" applyBorder="1"/>
    <xf numFmtId="0" fontId="6" fillId="0" borderId="0" xfId="0" applyFont="1" applyBorder="1" applyAlignment="1">
      <alignment horizontal="center" vertical="center"/>
    </xf>
    <xf numFmtId="14" fontId="3" fillId="0" borderId="0" xfId="4" applyNumberFormat="1" applyFill="1" applyBorder="1" applyAlignment="1">
      <alignment horizontal="center" vertical="center" wrapText="1"/>
    </xf>
    <xf numFmtId="165" fontId="3" fillId="0" borderId="0" xfId="1" applyNumberFormat="1" applyFont="1" applyBorder="1" applyAlignment="1">
      <alignment horizontal="center" vertical="center" wrapText="1"/>
    </xf>
    <xf numFmtId="167" fontId="3" fillId="0" borderId="0" xfId="1" applyNumberFormat="1" applyFont="1" applyBorder="1" applyAlignment="1">
      <alignment horizontal="center" vertical="center" wrapText="1"/>
    </xf>
    <xf numFmtId="14" fontId="3" fillId="0" borderId="20" xfId="4" applyNumberFormat="1" applyBorder="1" applyAlignment="1">
      <alignment horizontal="center" vertical="center" wrapText="1"/>
    </xf>
    <xf numFmtId="0" fontId="7" fillId="0" borderId="0" xfId="0" applyFont="1" applyBorder="1" applyAlignment="1">
      <alignment horizontal="right"/>
    </xf>
    <xf numFmtId="14" fontId="8" fillId="0" borderId="0" xfId="4" applyNumberFormat="1" applyFont="1" applyBorder="1" applyAlignment="1">
      <alignment horizontal="center" vertical="center" wrapText="1"/>
    </xf>
    <xf numFmtId="0" fontId="7" fillId="0" borderId="0" xfId="0" applyFont="1" applyBorder="1" applyAlignment="1">
      <alignment horizontal="center" vertical="center"/>
    </xf>
    <xf numFmtId="0" fontId="3" fillId="0" borderId="0" xfId="4" applyBorder="1" applyAlignment="1">
      <alignment horizontal="center" vertical="center"/>
    </xf>
    <xf numFmtId="2" fontId="0" fillId="0" borderId="0" xfId="0" applyNumberFormat="1" applyBorder="1" applyAlignment="1">
      <alignment horizontal="center" vertical="center"/>
    </xf>
    <xf numFmtId="166" fontId="3" fillId="0" borderId="20" xfId="1" applyNumberFormat="1" applyFont="1" applyBorder="1" applyAlignment="1">
      <alignment horizontal="center" vertical="center" wrapText="1"/>
    </xf>
    <xf numFmtId="14" fontId="3" fillId="0" borderId="0" xfId="4" applyNumberFormat="1" applyBorder="1" applyAlignment="1">
      <alignment horizontal="right" vertical="center" wrapText="1"/>
    </xf>
    <xf numFmtId="14" fontId="10" fillId="0" borderId="0" xfId="4" applyNumberFormat="1" applyFont="1" applyBorder="1" applyAlignment="1">
      <alignment horizontal="center" vertical="center" wrapText="1"/>
    </xf>
    <xf numFmtId="0" fontId="3" fillId="0" borderId="19" xfId="4" applyBorder="1"/>
    <xf numFmtId="14" fontId="3" fillId="0" borderId="0" xfId="4" applyNumberFormat="1" applyBorder="1"/>
    <xf numFmtId="0" fontId="3" fillId="0" borderId="0" xfId="4" applyBorder="1"/>
    <xf numFmtId="164" fontId="3" fillId="0" borderId="0" xfId="1" applyNumberFormat="1" applyFont="1" applyBorder="1" applyAlignment="1">
      <alignment horizontal="center" vertical="center" wrapText="1"/>
    </xf>
    <xf numFmtId="14" fontId="3" fillId="0" borderId="0" xfId="4" applyNumberFormat="1" applyBorder="1" applyAlignment="1">
      <alignment vertical="center" wrapText="1"/>
    </xf>
    <xf numFmtId="173" fontId="3" fillId="0" borderId="0" xfId="1" applyNumberFormat="1" applyFont="1" applyBorder="1" applyAlignment="1">
      <alignment horizontal="center" vertical="center" wrapText="1"/>
    </xf>
    <xf numFmtId="0" fontId="0" fillId="0" borderId="20" xfId="0" applyBorder="1"/>
    <xf numFmtId="14" fontId="13" fillId="0" borderId="13" xfId="0" applyNumberFormat="1" applyFont="1" applyBorder="1"/>
    <xf numFmtId="1" fontId="3" fillId="0" borderId="13" xfId="4" applyNumberFormat="1" applyBorder="1"/>
    <xf numFmtId="0" fontId="14" fillId="0" borderId="13" xfId="0" applyFont="1" applyBorder="1"/>
    <xf numFmtId="0" fontId="0" fillId="0" borderId="22" xfId="0" applyBorder="1"/>
    <xf numFmtId="0" fontId="0" fillId="0" borderId="23" xfId="0" applyBorder="1"/>
    <xf numFmtId="0" fontId="0" fillId="0" borderId="8" xfId="0" applyBorder="1"/>
    <xf numFmtId="14" fontId="6" fillId="0" borderId="18" xfId="0" applyNumberFormat="1" applyFont="1" applyBorder="1"/>
    <xf numFmtId="0" fontId="6" fillId="0" borderId="18" xfId="0" applyFont="1" applyBorder="1"/>
    <xf numFmtId="0" fontId="6" fillId="0" borderId="18" xfId="0" applyFont="1" applyBorder="1" applyAlignment="1">
      <alignment horizontal="center" vertical="center"/>
    </xf>
    <xf numFmtId="0" fontId="0" fillId="0" borderId="18" xfId="0" applyBorder="1" applyAlignment="1">
      <alignment vertical="center"/>
    </xf>
    <xf numFmtId="14" fontId="3" fillId="0" borderId="20" xfId="4" applyNumberFormat="1" applyBorder="1"/>
    <xf numFmtId="170" fontId="3" fillId="0" borderId="0" xfId="4" applyNumberFormat="1" applyBorder="1"/>
    <xf numFmtId="14" fontId="0" fillId="0" borderId="0" xfId="0" applyNumberFormat="1" applyBorder="1"/>
    <xf numFmtId="1" fontId="3" fillId="0" borderId="0" xfId="4" applyNumberFormat="1" applyBorder="1"/>
    <xf numFmtId="0" fontId="3" fillId="0" borderId="22" xfId="4" applyBorder="1"/>
    <xf numFmtId="14" fontId="3" fillId="0" borderId="23" xfId="4" applyNumberFormat="1" applyBorder="1"/>
    <xf numFmtId="0" fontId="0" fillId="0" borderId="11" xfId="0" applyBorder="1"/>
    <xf numFmtId="0" fontId="21" fillId="0" borderId="8" xfId="0" applyFont="1" applyBorder="1" applyAlignment="1">
      <alignment horizontal="center" vertical="center"/>
    </xf>
    <xf numFmtId="0" fontId="21" fillId="0" borderId="18" xfId="0" applyFont="1" applyBorder="1" applyAlignment="1">
      <alignment horizontal="center" vertical="center"/>
    </xf>
    <xf numFmtId="0" fontId="21" fillId="0" borderId="11" xfId="0" applyFont="1" applyBorder="1" applyAlignment="1">
      <alignment horizontal="center" vertical="center"/>
    </xf>
    <xf numFmtId="0" fontId="21" fillId="0" borderId="21" xfId="0" applyFont="1" applyBorder="1" applyAlignment="1">
      <alignment horizontal="center" vertical="center"/>
    </xf>
    <xf numFmtId="0" fontId="21" fillId="0" borderId="22" xfId="0" applyFont="1" applyBorder="1" applyAlignment="1">
      <alignment horizontal="center" vertical="center"/>
    </xf>
    <xf numFmtId="0" fontId="21" fillId="0" borderId="23" xfId="0" applyFont="1" applyBorder="1" applyAlignment="1">
      <alignment horizontal="center" vertical="center"/>
    </xf>
    <xf numFmtId="168" fontId="14" fillId="0" borderId="13" xfId="0" applyNumberFormat="1" applyFont="1" applyBorder="1"/>
    <xf numFmtId="14" fontId="0" fillId="0" borderId="6" xfId="0" applyNumberFormat="1" applyBorder="1" applyAlignment="1">
      <alignment vertical="center"/>
    </xf>
    <xf numFmtId="14" fontId="0" fillId="0" borderId="13" xfId="0" applyNumberFormat="1" applyBorder="1" applyAlignment="1">
      <alignment vertical="center"/>
    </xf>
    <xf numFmtId="3" fontId="0" fillId="0" borderId="13" xfId="0" applyNumberFormat="1" applyBorder="1" applyAlignment="1">
      <alignment vertical="center"/>
    </xf>
    <xf numFmtId="0" fontId="0" fillId="0" borderId="13" xfId="0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22" xfId="0" applyBorder="1" applyAlignment="1">
      <alignment vertical="center"/>
    </xf>
    <xf numFmtId="0" fontId="7" fillId="0" borderId="18" xfId="0" applyFont="1" applyBorder="1" applyAlignment="1">
      <alignment horizontal="right"/>
    </xf>
    <xf numFmtId="0" fontId="9" fillId="0" borderId="24" xfId="0" applyFont="1" applyBorder="1" applyAlignment="1">
      <alignment horizontal="center" vertical="center" textRotation="90"/>
    </xf>
    <xf numFmtId="0" fontId="9" fillId="0" borderId="25" xfId="0" applyFont="1" applyBorder="1" applyAlignment="1">
      <alignment horizontal="center" vertical="center" textRotation="90"/>
    </xf>
    <xf numFmtId="0" fontId="22" fillId="0" borderId="0" xfId="0" applyFont="1" applyAlignment="1">
      <alignment horizontal="center"/>
    </xf>
    <xf numFmtId="169" fontId="6" fillId="0" borderId="0" xfId="0" applyNumberFormat="1" applyFont="1" applyAlignment="1">
      <alignment horizontal="center" vertical="center"/>
    </xf>
    <xf numFmtId="0" fontId="9" fillId="0" borderId="19" xfId="0" applyFont="1" applyBorder="1" applyAlignment="1">
      <alignment horizontal="center" vertical="center" textRotation="90"/>
    </xf>
    <xf numFmtId="0" fontId="9" fillId="0" borderId="21" xfId="0" applyFont="1" applyBorder="1" applyAlignment="1">
      <alignment horizontal="center" vertical="center" textRotation="90"/>
    </xf>
  </cellXfs>
  <cellStyles count="10">
    <cellStyle name="Dane wejściowe" xfId="2"/>
    <cellStyle name="Dane wyjściowe" xfId="3"/>
    <cellStyle name="Dobre" xfId="6" hidden="1"/>
    <cellStyle name="Dziesiętny" xfId="1" builtinId="3"/>
    <cellStyle name="Komórka połączona" xfId="7" hidden="1"/>
    <cellStyle name="Normal_Sheet1" xfId="4"/>
    <cellStyle name="Normalny" xfId="0" builtinId="0"/>
    <cellStyle name="Procentowy" xfId="5" builtinId="5"/>
    <cellStyle name="Suma" xfId="9" hidden="1"/>
    <cellStyle name="Tekst ostrzeżenia" xfId="8" hidde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R66"/>
  <sheetViews>
    <sheetView tabSelected="1" zoomScale="85" zoomScaleNormal="85" workbookViewId="0">
      <selection activeCell="G20" sqref="G20"/>
    </sheetView>
  </sheetViews>
  <sheetFormatPr defaultRowHeight="12.75"/>
  <cols>
    <col min="1" max="2" width="10.5703125" bestFit="1" customWidth="1"/>
    <col min="3" max="3" width="13.42578125" bestFit="1" customWidth="1"/>
    <col min="4" max="4" width="13.7109375" bestFit="1" customWidth="1"/>
    <col min="5" max="5" width="20.85546875" bestFit="1" customWidth="1"/>
    <col min="6" max="6" width="11.5703125" bestFit="1" customWidth="1"/>
    <col min="7" max="7" width="18.140625" customWidth="1"/>
    <col min="8" max="8" width="22.28515625" bestFit="1" customWidth="1"/>
    <col min="9" max="9" width="11.28515625" bestFit="1" customWidth="1"/>
    <col min="10" max="10" width="14.28515625" bestFit="1" customWidth="1"/>
    <col min="11" max="12" width="21" bestFit="1" customWidth="1"/>
    <col min="13" max="14" width="11.28515625" bestFit="1" customWidth="1"/>
    <col min="17" max="17" width="9.7109375" bestFit="1" customWidth="1"/>
    <col min="18" max="18" width="15.5703125" bestFit="1" customWidth="1"/>
  </cols>
  <sheetData>
    <row r="1" spans="1:18" ht="13.5" customHeight="1">
      <c r="A1" s="15" t="s">
        <v>16</v>
      </c>
      <c r="B1" s="16" t="s">
        <v>17</v>
      </c>
      <c r="C1" s="16" t="s">
        <v>51</v>
      </c>
      <c r="D1" s="16" t="s">
        <v>18</v>
      </c>
      <c r="E1" s="16" t="s">
        <v>19</v>
      </c>
      <c r="F1" s="16" t="s">
        <v>20</v>
      </c>
      <c r="G1" s="16" t="s">
        <v>15</v>
      </c>
      <c r="H1" s="17" t="s">
        <v>21</v>
      </c>
    </row>
    <row r="2" spans="1:18" s="12" customFormat="1" ht="23.25" customHeight="1" thickBot="1">
      <c r="A2" s="75">
        <v>41271</v>
      </c>
      <c r="B2" s="76">
        <v>41366</v>
      </c>
      <c r="C2" s="76">
        <v>41457</v>
      </c>
      <c r="D2" s="77">
        <v>500000</v>
      </c>
      <c r="E2" s="78" t="s">
        <v>22</v>
      </c>
      <c r="F2" s="78" t="s">
        <v>23</v>
      </c>
      <c r="G2" s="78">
        <v>300</v>
      </c>
      <c r="H2" s="79">
        <v>-2</v>
      </c>
      <c r="N2" s="80"/>
    </row>
    <row r="3" spans="1:18" ht="15.75" customHeight="1">
      <c r="A3" s="56"/>
      <c r="B3" s="57">
        <f>DATE(2013,2,5)</f>
        <v>41310</v>
      </c>
      <c r="C3" s="58"/>
      <c r="D3" s="59" t="s">
        <v>14</v>
      </c>
      <c r="E3" s="59" t="s">
        <v>15</v>
      </c>
      <c r="F3" s="60"/>
      <c r="G3" s="81" t="s">
        <v>40</v>
      </c>
      <c r="H3" s="25">
        <f>$B$3</f>
        <v>41310</v>
      </c>
      <c r="I3" s="26"/>
      <c r="J3" s="26"/>
      <c r="K3" s="26"/>
      <c r="L3" s="26"/>
      <c r="M3" s="26"/>
      <c r="N3" s="30"/>
      <c r="P3" s="84" t="s">
        <v>58</v>
      </c>
      <c r="Q3" s="84"/>
      <c r="R3" s="85">
        <f ca="1">-(K25-K58)</f>
        <v>12.291452635429891</v>
      </c>
    </row>
    <row r="4" spans="1:18" ht="15" customHeight="1">
      <c r="A4" s="86" t="s">
        <v>24</v>
      </c>
      <c r="B4" s="2" t="s">
        <v>0</v>
      </c>
      <c r="C4" s="3">
        <f>ROW(B4)-ROW($B$4)</f>
        <v>0</v>
      </c>
      <c r="D4" s="4">
        <f t="shared" ref="D4:D17" si="0">CurveTenorDate($B$3,C4)</f>
        <v>41312</v>
      </c>
      <c r="E4" s="22">
        <v>359.31397500000003</v>
      </c>
      <c r="F4" s="27"/>
      <c r="G4" s="42" t="s">
        <v>52</v>
      </c>
      <c r="H4" s="28">
        <f>$B$2</f>
        <v>41366</v>
      </c>
      <c r="I4" s="29">
        <f>YearFracStr($H$3,H4,L17)</f>
        <v>0.15342465753424658</v>
      </c>
      <c r="J4" s="28"/>
      <c r="K4" s="28"/>
      <c r="L4" s="28"/>
      <c r="M4" s="28"/>
      <c r="N4" s="30"/>
      <c r="O4" s="1"/>
      <c r="P4" s="84"/>
      <c r="Q4" s="84"/>
      <c r="R4" s="85"/>
    </row>
    <row r="5" spans="1:18" ht="15">
      <c r="A5" s="86"/>
      <c r="B5" s="2" t="s">
        <v>1</v>
      </c>
      <c r="C5" s="3">
        <f t="shared" ref="C5:C17" si="1">ROW(B5)-ROW($B$4)</f>
        <v>1</v>
      </c>
      <c r="D5" s="4">
        <f t="shared" si="0"/>
        <v>41340</v>
      </c>
      <c r="E5" s="22">
        <v>364.28491499999996</v>
      </c>
      <c r="F5" s="27"/>
      <c r="G5" s="42" t="s">
        <v>53</v>
      </c>
      <c r="H5" s="28">
        <f>$C$2</f>
        <v>41457</v>
      </c>
      <c r="I5" s="29">
        <f>YearFracStr($H$3,H5,L18)</f>
        <v>0.40273972602739727</v>
      </c>
      <c r="J5" s="28"/>
      <c r="K5" s="28"/>
      <c r="L5" s="28"/>
      <c r="M5" s="28"/>
      <c r="N5" s="30"/>
    </row>
    <row r="6" spans="1:18" ht="15">
      <c r="A6" s="86"/>
      <c r="B6" s="2" t="s">
        <v>2</v>
      </c>
      <c r="C6" s="3">
        <f t="shared" si="1"/>
        <v>2</v>
      </c>
      <c r="D6" s="4">
        <f t="shared" si="0"/>
        <v>41372</v>
      </c>
      <c r="E6" s="22">
        <v>352.25292999999999</v>
      </c>
      <c r="F6" s="27"/>
      <c r="G6" s="27"/>
      <c r="H6" s="27"/>
      <c r="I6" s="28"/>
      <c r="J6" s="28"/>
      <c r="K6" s="28"/>
      <c r="L6" s="28"/>
      <c r="M6" s="28"/>
      <c r="N6" s="30"/>
    </row>
    <row r="7" spans="1:18" ht="15">
      <c r="A7" s="86"/>
      <c r="B7" s="2" t="s">
        <v>3</v>
      </c>
      <c r="C7" s="3">
        <f t="shared" si="1"/>
        <v>3</v>
      </c>
      <c r="D7" s="4">
        <f t="shared" si="0"/>
        <v>41401</v>
      </c>
      <c r="E7" s="22">
        <v>347.26855499999999</v>
      </c>
      <c r="F7" s="27"/>
      <c r="G7" s="32" t="s">
        <v>54</v>
      </c>
      <c r="H7" s="14">
        <f ca="1">(K9*I5-H9*I4)/(I5-I4)</f>
        <v>323.12584589464888</v>
      </c>
      <c r="I7" s="20"/>
      <c r="J7" s="33"/>
      <c r="K7" s="28"/>
      <c r="L7" s="28"/>
      <c r="M7" s="28"/>
      <c r="N7" s="30"/>
    </row>
    <row r="8" spans="1:18" ht="15.75" thickBot="1">
      <c r="A8" s="86"/>
      <c r="B8" s="2" t="s">
        <v>4</v>
      </c>
      <c r="C8" s="3">
        <f t="shared" si="1"/>
        <v>4</v>
      </c>
      <c r="D8" s="4">
        <f t="shared" si="0"/>
        <v>41493</v>
      </c>
      <c r="E8" s="22">
        <v>327.246645</v>
      </c>
      <c r="F8" s="27"/>
      <c r="G8" s="28"/>
      <c r="H8" s="34"/>
      <c r="I8" s="28"/>
      <c r="J8" s="28"/>
      <c r="K8" s="28"/>
      <c r="L8" s="28"/>
      <c r="M8" s="28"/>
      <c r="N8" s="30"/>
    </row>
    <row r="9" spans="1:18" ht="15.75" thickBot="1">
      <c r="A9" s="86"/>
      <c r="B9" s="2" t="s">
        <v>5</v>
      </c>
      <c r="C9" s="3">
        <f t="shared" si="1"/>
        <v>5</v>
      </c>
      <c r="D9" s="4">
        <f t="shared" si="0"/>
        <v>41585</v>
      </c>
      <c r="E9" s="22">
        <v>313.25873000000001</v>
      </c>
      <c r="F9" s="27"/>
      <c r="G9" s="9" t="s">
        <v>52</v>
      </c>
      <c r="H9" s="13">
        <f ca="1">H11+YearFracStr(G11,H4,L17)/YearFracStr(G11,G12,L17)*(H12-H11)</f>
        <v>354.50892718749998</v>
      </c>
      <c r="I9" s="28"/>
      <c r="J9" s="9" t="s">
        <v>52</v>
      </c>
      <c r="K9" s="13">
        <f ca="1">K11+YearFracStr(J11,H5,L17)/YearFracStr(J11,J12,L17)*(K12-K11)</f>
        <v>335.08130543478262</v>
      </c>
      <c r="M9" s="28"/>
      <c r="N9" s="30"/>
    </row>
    <row r="10" spans="1:18" ht="15">
      <c r="A10" s="86"/>
      <c r="B10" s="2" t="s">
        <v>6</v>
      </c>
      <c r="C10" s="3">
        <f t="shared" si="1"/>
        <v>6</v>
      </c>
      <c r="D10" s="4">
        <f t="shared" si="0"/>
        <v>41677</v>
      </c>
      <c r="E10" s="22">
        <v>305.35547500000001</v>
      </c>
      <c r="F10" s="27"/>
      <c r="G10" s="10" t="s">
        <v>49</v>
      </c>
      <c r="H10" s="11" t="s">
        <v>50</v>
      </c>
      <c r="I10" s="28"/>
      <c r="J10" s="10" t="s">
        <v>49</v>
      </c>
      <c r="K10" s="11" t="s">
        <v>50</v>
      </c>
      <c r="M10" s="28"/>
      <c r="N10" s="30"/>
    </row>
    <row r="11" spans="1:18" ht="15">
      <c r="A11" s="86"/>
      <c r="B11" s="2" t="s">
        <v>7</v>
      </c>
      <c r="C11" s="3">
        <f t="shared" si="1"/>
        <v>7</v>
      </c>
      <c r="D11" s="4">
        <f t="shared" si="0"/>
        <v>42044</v>
      </c>
      <c r="E11" s="22">
        <v>299.96478000000002</v>
      </c>
      <c r="F11" s="27"/>
      <c r="G11" s="5">
        <f>LOOKUP(H4,D4:D17)</f>
        <v>41340</v>
      </c>
      <c r="H11" s="6">
        <f>VLOOKUP(G11,D4:E17,2,FALSE)</f>
        <v>364.28491499999996</v>
      </c>
      <c r="I11" s="29"/>
      <c r="J11" s="5">
        <f>LOOKUP(H5,D4:D17)</f>
        <v>41401</v>
      </c>
      <c r="K11" s="6">
        <f>VLOOKUP(J11,D4:E17,2,FALSE)</f>
        <v>347.26855499999999</v>
      </c>
      <c r="M11" s="29"/>
      <c r="N11" s="30"/>
    </row>
    <row r="12" spans="1:18" ht="15.75" thickBot="1">
      <c r="A12" s="86"/>
      <c r="B12" s="2" t="s">
        <v>8</v>
      </c>
      <c r="C12" s="3">
        <f t="shared" si="1"/>
        <v>8</v>
      </c>
      <c r="D12" s="4">
        <f t="shared" si="0"/>
        <v>42408</v>
      </c>
      <c r="E12" s="22">
        <v>306.257205</v>
      </c>
      <c r="F12" s="27"/>
      <c r="G12" s="7">
        <f ca="1">OFFSET(D4,MATCH(G11,D4:D17,),0)</f>
        <v>41372</v>
      </c>
      <c r="H12" s="8">
        <f ca="1">VLOOKUP(G12,D4:E17,2,FALSE)</f>
        <v>352.25292999999999</v>
      </c>
      <c r="I12" s="29"/>
      <c r="J12" s="7">
        <f ca="1">OFFSET(D4,MATCH(J11,D4:D17,),0)</f>
        <v>41493</v>
      </c>
      <c r="K12" s="8">
        <f ca="1">VLOOKUP(J12,D4:E17,2,FALSE)</f>
        <v>327.246645</v>
      </c>
      <c r="M12" s="29"/>
      <c r="N12" s="30"/>
    </row>
    <row r="13" spans="1:18" ht="15">
      <c r="A13" s="86"/>
      <c r="B13" s="2" t="s">
        <v>9</v>
      </c>
      <c r="C13" s="3">
        <f t="shared" si="1"/>
        <v>9</v>
      </c>
      <c r="D13" s="4">
        <f t="shared" si="0"/>
        <v>42773</v>
      </c>
      <c r="E13" s="22">
        <v>310.61449500000003</v>
      </c>
      <c r="F13" s="27"/>
      <c r="G13" s="28"/>
      <c r="H13" s="28"/>
      <c r="I13" s="28"/>
      <c r="J13" s="28"/>
      <c r="K13" s="28"/>
      <c r="L13" s="28"/>
      <c r="M13" s="28"/>
      <c r="N13" s="30"/>
    </row>
    <row r="14" spans="1:18" ht="15">
      <c r="A14" s="86"/>
      <c r="B14" s="2" t="s">
        <v>10</v>
      </c>
      <c r="C14" s="3">
        <f t="shared" si="1"/>
        <v>10</v>
      </c>
      <c r="D14" s="4">
        <f t="shared" si="0"/>
        <v>43138</v>
      </c>
      <c r="E14" s="22">
        <v>317.18485999999996</v>
      </c>
      <c r="F14" s="28"/>
      <c r="G14" s="28"/>
      <c r="H14" s="28"/>
      <c r="I14" s="28"/>
      <c r="J14" s="28"/>
      <c r="K14" s="28"/>
      <c r="L14" s="28"/>
      <c r="M14" s="28"/>
      <c r="N14" s="30"/>
    </row>
    <row r="15" spans="1:18" ht="15">
      <c r="A15" s="86"/>
      <c r="B15" s="2" t="s">
        <v>11</v>
      </c>
      <c r="C15" s="3">
        <f t="shared" si="1"/>
        <v>11</v>
      </c>
      <c r="D15" s="4">
        <f t="shared" si="0"/>
        <v>43868</v>
      </c>
      <c r="E15" s="22">
        <v>329.32075999999995</v>
      </c>
      <c r="F15" s="28"/>
      <c r="G15" s="28"/>
      <c r="H15" s="28"/>
      <c r="I15" s="28"/>
      <c r="J15" s="28"/>
      <c r="K15" s="27"/>
      <c r="L15" s="27"/>
      <c r="M15" s="27"/>
      <c r="N15" s="35"/>
    </row>
    <row r="16" spans="1:18" ht="15">
      <c r="A16" s="86"/>
      <c r="B16" s="2" t="s">
        <v>12</v>
      </c>
      <c r="C16" s="3">
        <f t="shared" si="1"/>
        <v>12</v>
      </c>
      <c r="D16" s="4">
        <f t="shared" si="0"/>
        <v>44964</v>
      </c>
      <c r="E16" s="22">
        <v>346.626305</v>
      </c>
      <c r="F16" s="28"/>
      <c r="I16" s="28"/>
      <c r="J16" s="28"/>
      <c r="K16" s="38" t="s">
        <v>15</v>
      </c>
      <c r="L16" s="39" t="s">
        <v>45</v>
      </c>
      <c r="M16" s="28" t="s">
        <v>42</v>
      </c>
      <c r="N16" s="35" t="s">
        <v>47</v>
      </c>
    </row>
    <row r="17" spans="1:14" ht="15">
      <c r="A17" s="86"/>
      <c r="B17" s="2" t="s">
        <v>13</v>
      </c>
      <c r="C17" s="3">
        <f t="shared" si="1"/>
        <v>13</v>
      </c>
      <c r="D17" s="4">
        <f t="shared" si="0"/>
        <v>48617</v>
      </c>
      <c r="E17" s="22">
        <v>331.76047999999997</v>
      </c>
      <c r="F17" s="28"/>
      <c r="I17" s="28"/>
      <c r="J17" s="28" t="s">
        <v>44</v>
      </c>
      <c r="K17" s="40">
        <f>E20</f>
        <v>379.24576500000001</v>
      </c>
      <c r="L17" s="38" t="s">
        <v>46</v>
      </c>
      <c r="M17" s="29">
        <f>YearFracStr(H20,H21,L17)</f>
        <v>5.4794520547945206E-3</v>
      </c>
      <c r="N17" s="41">
        <f>1/(1+M17*$K$17/10000)</f>
        <v>0.99979223727568955</v>
      </c>
    </row>
    <row r="18" spans="1:14" ht="14.25">
      <c r="A18" s="44"/>
      <c r="B18" s="45"/>
      <c r="C18" s="45"/>
      <c r="D18" s="45"/>
      <c r="E18" s="28"/>
      <c r="F18" s="28"/>
      <c r="I18" s="28"/>
      <c r="J18" s="28" t="s">
        <v>43</v>
      </c>
      <c r="K18" s="40">
        <f ca="1">H25</f>
        <v>367.75332843749999</v>
      </c>
      <c r="L18" s="38" t="s">
        <v>46</v>
      </c>
      <c r="M18" s="29">
        <f>YearFracStr(H20,H22,L18)</f>
        <v>0.15342465753424658</v>
      </c>
      <c r="N18" s="41">
        <f ca="1">EXP(-(K18/10000)*M18)</f>
        <v>0.99437364471038314</v>
      </c>
    </row>
    <row r="19" spans="1:14" ht="14.25">
      <c r="A19" s="44"/>
      <c r="B19" s="45"/>
      <c r="C19" s="27"/>
      <c r="D19" s="31" t="s">
        <v>14</v>
      </c>
      <c r="E19" s="31" t="s">
        <v>15</v>
      </c>
      <c r="F19" s="28"/>
      <c r="I19" s="28"/>
      <c r="J19" s="28" t="s">
        <v>56</v>
      </c>
      <c r="K19" s="40">
        <f ca="1">H7</f>
        <v>323.12584589464888</v>
      </c>
      <c r="L19" s="38" t="s">
        <v>46</v>
      </c>
      <c r="M19" s="29">
        <f>YearFracStr(H4,H5,L19)</f>
        <v>0.24931506849315069</v>
      </c>
      <c r="N19" s="41">
        <f ca="1">EXP(-(K19/10000)*M19)</f>
        <v>0.99197634847945115</v>
      </c>
    </row>
    <row r="20" spans="1:14" ht="15">
      <c r="A20" s="86" t="s">
        <v>25</v>
      </c>
      <c r="B20" s="2" t="s">
        <v>26</v>
      </c>
      <c r="C20" s="3">
        <f>ROW(B20)-ROW($B$20)</f>
        <v>0</v>
      </c>
      <c r="D20" s="4">
        <f t="shared" ref="D20:D33" si="2">CurveTenorDate($B$3,C20)</f>
        <v>41312</v>
      </c>
      <c r="E20" s="23">
        <v>379.24576500000001</v>
      </c>
      <c r="F20" s="28"/>
      <c r="G20" s="36" t="s">
        <v>40</v>
      </c>
      <c r="H20" s="37">
        <f>$B$3</f>
        <v>41310</v>
      </c>
      <c r="I20" s="28"/>
      <c r="J20" s="28"/>
      <c r="K20" s="28"/>
      <c r="L20" s="27"/>
      <c r="M20" s="46"/>
      <c r="N20" s="35"/>
    </row>
    <row r="21" spans="1:14" ht="15">
      <c r="A21" s="86"/>
      <c r="B21" s="2" t="s">
        <v>27</v>
      </c>
      <c r="C21" s="3">
        <f t="shared" ref="C21:C33" si="3">ROW(B21)-ROW($B$20)</f>
        <v>1</v>
      </c>
      <c r="D21" s="4">
        <f t="shared" si="2"/>
        <v>41340</v>
      </c>
      <c r="E21" s="23">
        <v>374.04393500000003</v>
      </c>
      <c r="F21" s="28"/>
      <c r="G21" s="42" t="s">
        <v>41</v>
      </c>
      <c r="H21" s="28">
        <f>D20</f>
        <v>41312</v>
      </c>
      <c r="I21" s="47"/>
      <c r="J21" s="28"/>
      <c r="K21" s="28"/>
      <c r="L21" s="28"/>
      <c r="M21" s="46"/>
      <c r="N21" s="35"/>
    </row>
    <row r="22" spans="1:14" ht="15">
      <c r="A22" s="86"/>
      <c r="B22" s="2" t="s">
        <v>28</v>
      </c>
      <c r="C22" s="3">
        <f t="shared" si="3"/>
        <v>2</v>
      </c>
      <c r="D22" s="4">
        <f t="shared" si="2"/>
        <v>41372</v>
      </c>
      <c r="E22" s="23">
        <v>366.30165</v>
      </c>
      <c r="F22" s="28"/>
      <c r="G22" s="42" t="s">
        <v>52</v>
      </c>
      <c r="H22" s="43">
        <f>$B$2</f>
        <v>41366</v>
      </c>
      <c r="I22" s="28"/>
      <c r="J22" s="48"/>
      <c r="M22" s="46"/>
      <c r="N22" s="35"/>
    </row>
    <row r="23" spans="1:14" ht="15">
      <c r="A23" s="86"/>
      <c r="B23" s="2" t="s">
        <v>29</v>
      </c>
      <c r="C23" s="3">
        <f t="shared" si="3"/>
        <v>3</v>
      </c>
      <c r="D23" s="4">
        <f t="shared" si="2"/>
        <v>41401</v>
      </c>
      <c r="E23" s="23">
        <v>362.68097999999998</v>
      </c>
      <c r="F23" s="28"/>
      <c r="I23" s="28"/>
      <c r="J23" s="28"/>
      <c r="K23" s="28"/>
      <c r="L23" s="28"/>
      <c r="M23" s="46"/>
      <c r="N23" s="35"/>
    </row>
    <row r="24" spans="1:14" ht="15.75" thickBot="1">
      <c r="A24" s="86"/>
      <c r="B24" s="2" t="s">
        <v>30</v>
      </c>
      <c r="C24" s="3">
        <f t="shared" si="3"/>
        <v>4</v>
      </c>
      <c r="D24" s="4">
        <f t="shared" si="2"/>
        <v>41493</v>
      </c>
      <c r="E24" s="23">
        <v>347.32421499999998</v>
      </c>
      <c r="F24" s="28"/>
      <c r="G24" s="27"/>
      <c r="H24" s="27"/>
      <c r="I24" s="49"/>
      <c r="J24" s="28"/>
      <c r="K24" s="28"/>
      <c r="L24" s="28"/>
      <c r="M24" s="46"/>
      <c r="N24" s="35"/>
    </row>
    <row r="25" spans="1:14" ht="15" customHeight="1" thickBot="1">
      <c r="A25" s="86"/>
      <c r="B25" s="2" t="s">
        <v>31</v>
      </c>
      <c r="C25" s="3">
        <f t="shared" si="3"/>
        <v>5</v>
      </c>
      <c r="D25" s="4">
        <f t="shared" si="2"/>
        <v>41585</v>
      </c>
      <c r="E25" s="23">
        <v>332.34462499999995</v>
      </c>
      <c r="F25" s="28"/>
      <c r="G25" s="9" t="s">
        <v>48</v>
      </c>
      <c r="H25" s="13">
        <f ca="1">H27 + YearFracStr(G27,H22,L17)/YearFracStr(G27,G28,L17)*(H28-H27)</f>
        <v>367.75332843749999</v>
      </c>
      <c r="I25" s="27"/>
      <c r="J25" s="19" t="s">
        <v>55</v>
      </c>
      <c r="K25" s="21">
        <f ca="1">(EXP(0.0001*(H7-$G$2)*YearFracStr(H4,H5,L17)) -1)*N19*$D$2*N18</f>
        <v>284.44105901793017</v>
      </c>
      <c r="L25" s="27"/>
      <c r="M25" s="27"/>
      <c r="N25" s="50"/>
    </row>
    <row r="26" spans="1:14" ht="15">
      <c r="A26" s="86"/>
      <c r="B26" s="2" t="s">
        <v>32</v>
      </c>
      <c r="C26" s="3">
        <f t="shared" si="3"/>
        <v>6</v>
      </c>
      <c r="D26" s="4">
        <f t="shared" si="2"/>
        <v>41677</v>
      </c>
      <c r="E26" s="23">
        <v>324.861245</v>
      </c>
      <c r="F26" s="28"/>
      <c r="G26" s="10" t="s">
        <v>49</v>
      </c>
      <c r="H26" s="11" t="s">
        <v>50</v>
      </c>
      <c r="I26" s="27"/>
      <c r="J26" s="27"/>
      <c r="K26" s="27"/>
      <c r="L26" s="27"/>
      <c r="M26" s="27"/>
      <c r="N26" s="50"/>
    </row>
    <row r="27" spans="1:14" ht="15">
      <c r="A27" s="86"/>
      <c r="B27" s="2" t="s">
        <v>33</v>
      </c>
      <c r="C27" s="3">
        <f t="shared" si="3"/>
        <v>7</v>
      </c>
      <c r="D27" s="4">
        <f t="shared" si="2"/>
        <v>42044</v>
      </c>
      <c r="E27" s="23">
        <v>321.11622499999999</v>
      </c>
      <c r="F27" s="28"/>
      <c r="G27" s="5">
        <f>LOOKUP(H22,D20:D33)</f>
        <v>41340</v>
      </c>
      <c r="H27" s="6">
        <f>VLOOKUP(G27,D20:E33,2,FALSE)</f>
        <v>374.04393500000003</v>
      </c>
      <c r="I27" s="27"/>
      <c r="J27" s="27"/>
      <c r="K27" s="27"/>
      <c r="L27" s="27"/>
      <c r="M27" s="27"/>
      <c r="N27" s="50"/>
    </row>
    <row r="28" spans="1:14" ht="15.75" thickBot="1">
      <c r="A28" s="86"/>
      <c r="B28" s="2" t="s">
        <v>34</v>
      </c>
      <c r="C28" s="3">
        <f t="shared" si="3"/>
        <v>8</v>
      </c>
      <c r="D28" s="4">
        <f t="shared" si="2"/>
        <v>42408</v>
      </c>
      <c r="E28" s="23">
        <v>325.35897</v>
      </c>
      <c r="F28" s="46"/>
      <c r="G28" s="7">
        <f ca="1">OFFSET(D20,MATCH(G27,D20:D33,),0)</f>
        <v>41372</v>
      </c>
      <c r="H28" s="8">
        <f ca="1">VLOOKUP(G28,D20:E33,2,FALSE)</f>
        <v>366.30165</v>
      </c>
      <c r="I28" s="46"/>
      <c r="J28" s="46"/>
      <c r="K28" s="46"/>
      <c r="L28" s="46"/>
      <c r="M28" s="46"/>
      <c r="N28" s="61"/>
    </row>
    <row r="29" spans="1:14" ht="15">
      <c r="A29" s="86"/>
      <c r="B29" s="2" t="s">
        <v>35</v>
      </c>
      <c r="C29" s="3">
        <f t="shared" si="3"/>
        <v>9</v>
      </c>
      <c r="D29" s="4">
        <f t="shared" si="2"/>
        <v>42773</v>
      </c>
      <c r="E29" s="23">
        <v>341.20114999999998</v>
      </c>
      <c r="F29" s="46"/>
      <c r="G29" s="45"/>
      <c r="H29" s="62"/>
      <c r="I29" s="46"/>
      <c r="J29" s="46"/>
      <c r="K29" s="46"/>
      <c r="L29" s="46"/>
      <c r="M29" s="46"/>
      <c r="N29" s="61"/>
    </row>
    <row r="30" spans="1:14" ht="15">
      <c r="A30" s="86"/>
      <c r="B30" s="2" t="s">
        <v>36</v>
      </c>
      <c r="C30" s="3">
        <f t="shared" si="3"/>
        <v>10</v>
      </c>
      <c r="D30" s="4">
        <f t="shared" si="2"/>
        <v>43138</v>
      </c>
      <c r="E30" s="23">
        <v>349.60879</v>
      </c>
      <c r="F30" s="46"/>
      <c r="G30" s="63"/>
      <c r="H30" s="62"/>
      <c r="I30" s="46"/>
      <c r="J30" s="46"/>
      <c r="K30" s="46"/>
      <c r="L30" s="46"/>
      <c r="M30" s="46"/>
      <c r="N30" s="61"/>
    </row>
    <row r="31" spans="1:14" ht="15">
      <c r="A31" s="86"/>
      <c r="B31" s="2" t="s">
        <v>37</v>
      </c>
      <c r="C31" s="3">
        <f t="shared" si="3"/>
        <v>11</v>
      </c>
      <c r="D31" s="4">
        <f t="shared" si="2"/>
        <v>43868</v>
      </c>
      <c r="E31" s="23">
        <v>364.32606999999996</v>
      </c>
      <c r="F31" s="46"/>
      <c r="G31" s="64"/>
      <c r="H31" s="62"/>
      <c r="I31" s="46"/>
      <c r="J31" s="46"/>
      <c r="K31" s="46"/>
      <c r="L31" s="46"/>
      <c r="M31" s="46"/>
      <c r="N31" s="61"/>
    </row>
    <row r="32" spans="1:14" ht="15">
      <c r="A32" s="86"/>
      <c r="B32" s="2" t="s">
        <v>38</v>
      </c>
      <c r="C32" s="3">
        <f t="shared" si="3"/>
        <v>12</v>
      </c>
      <c r="D32" s="4">
        <f t="shared" si="2"/>
        <v>44964</v>
      </c>
      <c r="E32" s="23">
        <v>396.601045</v>
      </c>
      <c r="F32" s="46"/>
      <c r="G32" s="46"/>
      <c r="H32" s="46"/>
      <c r="I32" s="46"/>
      <c r="J32" s="46"/>
      <c r="K32" s="46"/>
      <c r="L32" s="46"/>
      <c r="M32" s="46"/>
      <c r="N32" s="61"/>
    </row>
    <row r="33" spans="1:14" ht="15.75" thickBot="1">
      <c r="A33" s="87"/>
      <c r="B33" s="51" t="s">
        <v>39</v>
      </c>
      <c r="C33" s="52">
        <f t="shared" si="3"/>
        <v>13</v>
      </c>
      <c r="D33" s="18">
        <f t="shared" si="2"/>
        <v>48617</v>
      </c>
      <c r="E33" s="74">
        <v>428.73225500000001</v>
      </c>
      <c r="F33" s="65"/>
      <c r="G33" s="65"/>
      <c r="H33" s="65"/>
      <c r="I33" s="65"/>
      <c r="J33" s="65"/>
      <c r="K33" s="65"/>
      <c r="L33" s="65"/>
      <c r="M33" s="65"/>
      <c r="N33" s="66"/>
    </row>
    <row r="34" spans="1:14" ht="15.75">
      <c r="A34" s="68" t="s">
        <v>58</v>
      </c>
      <c r="B34" s="69"/>
      <c r="C34" s="69"/>
      <c r="D34" s="69"/>
      <c r="E34" s="70"/>
      <c r="F34" s="24"/>
      <c r="G34" s="24"/>
      <c r="H34" s="24"/>
      <c r="I34" s="24"/>
      <c r="J34" s="24"/>
      <c r="K34" s="24"/>
      <c r="L34" s="24"/>
      <c r="M34" s="24"/>
      <c r="N34" s="67"/>
    </row>
    <row r="35" spans="1:14" ht="12.75" customHeight="1" thickBot="1">
      <c r="A35" s="71"/>
      <c r="B35" s="72"/>
      <c r="C35" s="72"/>
      <c r="D35" s="72"/>
      <c r="E35" s="73"/>
      <c r="F35" s="27"/>
      <c r="G35" s="27"/>
      <c r="H35" s="27"/>
      <c r="I35" s="27"/>
      <c r="J35" s="27"/>
      <c r="K35" s="27"/>
      <c r="L35" s="27"/>
      <c r="M35" s="27"/>
      <c r="N35" s="55"/>
    </row>
    <row r="36" spans="1:14" ht="13.5" customHeight="1">
      <c r="A36" s="56"/>
      <c r="B36" s="57">
        <f>DATE(2013,2,5)</f>
        <v>41310</v>
      </c>
      <c r="C36" s="58"/>
      <c r="D36" s="59" t="s">
        <v>14</v>
      </c>
      <c r="E36" s="59" t="s">
        <v>15</v>
      </c>
      <c r="F36" s="24"/>
      <c r="G36" s="81" t="s">
        <v>40</v>
      </c>
      <c r="H36" s="25">
        <f>$B$3</f>
        <v>41310</v>
      </c>
      <c r="I36" s="26"/>
      <c r="J36" s="26"/>
      <c r="K36" s="26"/>
      <c r="L36" s="26"/>
      <c r="M36" s="26"/>
      <c r="N36" s="30"/>
    </row>
    <row r="37" spans="1:14" ht="15">
      <c r="A37" s="82" t="s">
        <v>24</v>
      </c>
      <c r="B37" s="2" t="s">
        <v>0</v>
      </c>
      <c r="C37" s="3">
        <f t="shared" ref="C37:D50" si="4">C4</f>
        <v>0</v>
      </c>
      <c r="D37" s="4">
        <f t="shared" si="4"/>
        <v>41312</v>
      </c>
      <c r="E37" s="22">
        <f t="shared" ref="E37:E50" si="5">E4+1</f>
        <v>360.31397500000003</v>
      </c>
      <c r="F37" s="27"/>
      <c r="G37" s="42" t="s">
        <v>52</v>
      </c>
      <c r="H37" s="28">
        <f>$B$2</f>
        <v>41366</v>
      </c>
      <c r="I37" s="29">
        <f>YearFracStr($H$3,H37,L50)</f>
        <v>0.15342465753424658</v>
      </c>
      <c r="J37" s="28"/>
      <c r="K37" s="28"/>
      <c r="L37" s="28"/>
      <c r="M37" s="28"/>
      <c r="N37" s="30"/>
    </row>
    <row r="38" spans="1:14" ht="15" customHeight="1">
      <c r="A38" s="82"/>
      <c r="B38" s="2" t="s">
        <v>1</v>
      </c>
      <c r="C38" s="3">
        <f t="shared" si="4"/>
        <v>1</v>
      </c>
      <c r="D38" s="4">
        <f t="shared" si="4"/>
        <v>41340</v>
      </c>
      <c r="E38" s="22">
        <f t="shared" si="5"/>
        <v>365.28491499999996</v>
      </c>
      <c r="F38" s="27"/>
      <c r="G38" s="42" t="s">
        <v>53</v>
      </c>
      <c r="H38" s="28">
        <f>$C$2</f>
        <v>41457</v>
      </c>
      <c r="I38" s="29">
        <f>YearFracStr($H$3,H38,L51)</f>
        <v>0.40273972602739727</v>
      </c>
      <c r="J38" s="28"/>
      <c r="K38" s="28"/>
      <c r="L38" s="28"/>
      <c r="M38" s="28"/>
      <c r="N38" s="30"/>
    </row>
    <row r="39" spans="1:14" ht="15">
      <c r="A39" s="82"/>
      <c r="B39" s="2" t="s">
        <v>2</v>
      </c>
      <c r="C39" s="3">
        <f t="shared" si="4"/>
        <v>2</v>
      </c>
      <c r="D39" s="4">
        <f t="shared" si="4"/>
        <v>41372</v>
      </c>
      <c r="E39" s="22">
        <f t="shared" si="5"/>
        <v>353.25292999999999</v>
      </c>
      <c r="F39" s="27"/>
      <c r="G39" s="27"/>
      <c r="H39" s="27"/>
      <c r="I39" s="28"/>
      <c r="J39" s="28"/>
      <c r="K39" s="28"/>
      <c r="L39" s="28"/>
      <c r="M39" s="28"/>
      <c r="N39" s="30"/>
    </row>
    <row r="40" spans="1:14" ht="15">
      <c r="A40" s="82"/>
      <c r="B40" s="2" t="s">
        <v>3</v>
      </c>
      <c r="C40" s="3">
        <f t="shared" si="4"/>
        <v>3</v>
      </c>
      <c r="D40" s="4">
        <f t="shared" si="4"/>
        <v>41401</v>
      </c>
      <c r="E40" s="22">
        <f t="shared" si="5"/>
        <v>348.26855499999999</v>
      </c>
      <c r="F40" s="27"/>
      <c r="G40" s="32" t="s">
        <v>54</v>
      </c>
      <c r="H40" s="14">
        <f ca="1">(K42*I38-H42*I37)/(I38-I37)</f>
        <v>324.12584589464888</v>
      </c>
      <c r="I40" s="20"/>
      <c r="J40" s="33"/>
      <c r="K40" s="28"/>
      <c r="L40" s="28"/>
      <c r="M40" s="28"/>
      <c r="N40" s="30"/>
    </row>
    <row r="41" spans="1:14" ht="15.75" thickBot="1">
      <c r="A41" s="82"/>
      <c r="B41" s="2" t="s">
        <v>4</v>
      </c>
      <c r="C41" s="3">
        <f t="shared" si="4"/>
        <v>4</v>
      </c>
      <c r="D41" s="4">
        <f t="shared" si="4"/>
        <v>41493</v>
      </c>
      <c r="E41" s="22">
        <f t="shared" si="5"/>
        <v>328.246645</v>
      </c>
      <c r="F41" s="27"/>
      <c r="G41" s="28"/>
      <c r="H41" s="34"/>
      <c r="I41" s="28"/>
      <c r="J41" s="28"/>
      <c r="K41" s="28"/>
      <c r="L41" s="28"/>
      <c r="M41" s="28"/>
      <c r="N41" s="30"/>
    </row>
    <row r="42" spans="1:14" ht="15.75" thickBot="1">
      <c r="A42" s="82"/>
      <c r="B42" s="2" t="s">
        <v>5</v>
      </c>
      <c r="C42" s="3">
        <f t="shared" si="4"/>
        <v>5</v>
      </c>
      <c r="D42" s="4">
        <f t="shared" si="4"/>
        <v>41585</v>
      </c>
      <c r="E42" s="22">
        <f t="shared" si="5"/>
        <v>314.25873000000001</v>
      </c>
      <c r="F42" s="27"/>
      <c r="G42" s="9" t="s">
        <v>52</v>
      </c>
      <c r="H42" s="13">
        <f ca="1">H44+YearFracStr(G44,H37,L50)/YearFracStr(G44,G45,L50)*(H45-H44)</f>
        <v>355.50892718749998</v>
      </c>
      <c r="I42" s="28"/>
      <c r="J42" s="9" t="s">
        <v>52</v>
      </c>
      <c r="K42" s="13">
        <f ca="1">K44+YearFracStr(J44,H38,L50)/YearFracStr(J44,J45,L50)*(K45-K44)</f>
        <v>336.08130543478262</v>
      </c>
      <c r="M42" s="28"/>
      <c r="N42" s="30"/>
    </row>
    <row r="43" spans="1:14" ht="15">
      <c r="A43" s="82"/>
      <c r="B43" s="2" t="s">
        <v>6</v>
      </c>
      <c r="C43" s="3">
        <f t="shared" si="4"/>
        <v>6</v>
      </c>
      <c r="D43" s="4">
        <f t="shared" si="4"/>
        <v>41677</v>
      </c>
      <c r="E43" s="22">
        <f t="shared" si="5"/>
        <v>306.35547500000001</v>
      </c>
      <c r="F43" s="27"/>
      <c r="G43" s="10" t="s">
        <v>49</v>
      </c>
      <c r="H43" s="11" t="s">
        <v>50</v>
      </c>
      <c r="I43" s="28"/>
      <c r="J43" s="10" t="s">
        <v>49</v>
      </c>
      <c r="K43" s="11" t="s">
        <v>50</v>
      </c>
      <c r="M43" s="28"/>
      <c r="N43" s="30"/>
    </row>
    <row r="44" spans="1:14" ht="15">
      <c r="A44" s="82"/>
      <c r="B44" s="2" t="s">
        <v>7</v>
      </c>
      <c r="C44" s="3">
        <f t="shared" si="4"/>
        <v>7</v>
      </c>
      <c r="D44" s="4">
        <f t="shared" si="4"/>
        <v>42044</v>
      </c>
      <c r="E44" s="22">
        <f t="shared" si="5"/>
        <v>300.96478000000002</v>
      </c>
      <c r="F44" s="27"/>
      <c r="G44" s="5">
        <f>LOOKUP(H37,D37:D50)</f>
        <v>41340</v>
      </c>
      <c r="H44" s="6">
        <f>VLOOKUP(G44,D37:E50,2,FALSE)</f>
        <v>365.28491499999996</v>
      </c>
      <c r="I44" s="29"/>
      <c r="J44" s="5">
        <f>LOOKUP(H38,D37:D50)</f>
        <v>41401</v>
      </c>
      <c r="K44" s="6">
        <f>VLOOKUP(J44,D37:E50,2,FALSE)</f>
        <v>348.26855499999999</v>
      </c>
      <c r="M44" s="29"/>
      <c r="N44" s="30"/>
    </row>
    <row r="45" spans="1:14" ht="15.75" thickBot="1">
      <c r="A45" s="82"/>
      <c r="B45" s="2" t="s">
        <v>8</v>
      </c>
      <c r="C45" s="3">
        <f t="shared" si="4"/>
        <v>8</v>
      </c>
      <c r="D45" s="4">
        <f t="shared" si="4"/>
        <v>42408</v>
      </c>
      <c r="E45" s="22">
        <f t="shared" si="5"/>
        <v>307.257205</v>
      </c>
      <c r="F45" s="27"/>
      <c r="G45" s="7">
        <f ca="1">OFFSET(D37,MATCH(G44,D37:D50,),0)</f>
        <v>41372</v>
      </c>
      <c r="H45" s="8">
        <f ca="1">VLOOKUP(G45,D37:E50,2,FALSE)</f>
        <v>353.25292999999999</v>
      </c>
      <c r="I45" s="29"/>
      <c r="J45" s="7">
        <f ca="1">OFFSET(D37,MATCH(J44,D37:D50,),0)</f>
        <v>41493</v>
      </c>
      <c r="K45" s="8">
        <f ca="1">VLOOKUP(J45,D37:E50,2,FALSE)</f>
        <v>328.246645</v>
      </c>
      <c r="M45" s="29"/>
      <c r="N45" s="30"/>
    </row>
    <row r="46" spans="1:14" ht="15">
      <c r="A46" s="82"/>
      <c r="B46" s="2" t="s">
        <v>9</v>
      </c>
      <c r="C46" s="3">
        <f t="shared" si="4"/>
        <v>9</v>
      </c>
      <c r="D46" s="4">
        <f t="shared" si="4"/>
        <v>42773</v>
      </c>
      <c r="E46" s="22">
        <f t="shared" si="5"/>
        <v>311.61449500000003</v>
      </c>
      <c r="F46" s="27"/>
      <c r="G46" s="28"/>
      <c r="H46" s="28"/>
      <c r="I46" s="28"/>
      <c r="J46" s="28"/>
      <c r="K46" s="28"/>
      <c r="L46" s="28"/>
      <c r="M46" s="28"/>
      <c r="N46" s="30"/>
    </row>
    <row r="47" spans="1:14" ht="15">
      <c r="A47" s="82"/>
      <c r="B47" s="2" t="s">
        <v>10</v>
      </c>
      <c r="C47" s="3">
        <f t="shared" si="4"/>
        <v>10</v>
      </c>
      <c r="D47" s="4">
        <f t="shared" si="4"/>
        <v>43138</v>
      </c>
      <c r="E47" s="22">
        <f t="shared" si="5"/>
        <v>318.18485999999996</v>
      </c>
      <c r="F47" s="27"/>
      <c r="G47" s="28"/>
      <c r="H47" s="28"/>
      <c r="I47" s="28"/>
      <c r="J47" s="28"/>
      <c r="K47" s="28"/>
      <c r="L47" s="28"/>
      <c r="M47" s="28"/>
      <c r="N47" s="30"/>
    </row>
    <row r="48" spans="1:14" ht="15">
      <c r="A48" s="82"/>
      <c r="B48" s="2" t="s">
        <v>11</v>
      </c>
      <c r="C48" s="3">
        <f t="shared" si="4"/>
        <v>11</v>
      </c>
      <c r="D48" s="4">
        <f t="shared" si="4"/>
        <v>43868</v>
      </c>
      <c r="E48" s="22">
        <f t="shared" si="5"/>
        <v>330.32075999999995</v>
      </c>
      <c r="F48" s="27"/>
      <c r="G48" s="28"/>
      <c r="H48" s="28"/>
      <c r="I48" s="28"/>
      <c r="J48" s="28"/>
      <c r="K48" s="27"/>
      <c r="L48" s="27"/>
      <c r="M48" s="27"/>
      <c r="N48" s="35"/>
    </row>
    <row r="49" spans="1:14" ht="15">
      <c r="A49" s="82"/>
      <c r="B49" s="2" t="s">
        <v>12</v>
      </c>
      <c r="C49" s="3">
        <f t="shared" si="4"/>
        <v>12</v>
      </c>
      <c r="D49" s="4">
        <f t="shared" si="4"/>
        <v>44964</v>
      </c>
      <c r="E49" s="22">
        <f t="shared" si="5"/>
        <v>347.626305</v>
      </c>
      <c r="F49" s="27"/>
      <c r="I49" s="28"/>
      <c r="J49" s="28"/>
      <c r="K49" s="38" t="s">
        <v>15</v>
      </c>
      <c r="L49" s="39" t="s">
        <v>45</v>
      </c>
      <c r="M49" s="28" t="s">
        <v>42</v>
      </c>
      <c r="N49" s="35" t="s">
        <v>47</v>
      </c>
    </row>
    <row r="50" spans="1:14" ht="15">
      <c r="A50" s="82"/>
      <c r="B50" s="2" t="s">
        <v>13</v>
      </c>
      <c r="C50" s="3">
        <f t="shared" si="4"/>
        <v>13</v>
      </c>
      <c r="D50" s="4">
        <f t="shared" si="4"/>
        <v>48617</v>
      </c>
      <c r="E50" s="22">
        <f t="shared" si="5"/>
        <v>332.76047999999997</v>
      </c>
      <c r="F50" s="27"/>
      <c r="I50" s="28"/>
      <c r="J50" s="28" t="s">
        <v>44</v>
      </c>
      <c r="K50" s="40">
        <f>E53</f>
        <v>380.24576500000001</v>
      </c>
      <c r="L50" s="38" t="s">
        <v>46</v>
      </c>
      <c r="M50" s="29">
        <f>YearFracStr(H53,H54,L50)</f>
        <v>5.4794520547945206E-3</v>
      </c>
      <c r="N50" s="41">
        <f>1/(1+M50*$K$17/10000)</f>
        <v>0.99979223727568955</v>
      </c>
    </row>
    <row r="51" spans="1:14" ht="14.25">
      <c r="A51" s="44"/>
      <c r="B51" s="45"/>
      <c r="C51" s="45"/>
      <c r="D51" s="45"/>
      <c r="E51" s="28"/>
      <c r="F51" s="27"/>
      <c r="I51" s="28"/>
      <c r="J51" s="28" t="s">
        <v>43</v>
      </c>
      <c r="K51" s="40">
        <f ca="1">H58</f>
        <v>368.75332843749999</v>
      </c>
      <c r="L51" s="38" t="s">
        <v>46</v>
      </c>
      <c r="M51" s="29">
        <f>YearFracStr(H53,H55,L51)</f>
        <v>0.15342465753424658</v>
      </c>
      <c r="N51" s="41">
        <f ca="1">EXP(-(K51/10000)*M51)</f>
        <v>0.99435838868382598</v>
      </c>
    </row>
    <row r="52" spans="1:14" ht="14.25">
      <c r="A52" s="44"/>
      <c r="B52" s="45"/>
      <c r="C52" s="27"/>
      <c r="D52" s="31" t="s">
        <v>14</v>
      </c>
      <c r="E52" s="31" t="s">
        <v>15</v>
      </c>
      <c r="F52" s="27"/>
      <c r="I52" s="28"/>
      <c r="J52" s="28" t="s">
        <v>56</v>
      </c>
      <c r="K52" s="40">
        <f ca="1">H40</f>
        <v>324.12584589464888</v>
      </c>
      <c r="L52" s="38" t="s">
        <v>46</v>
      </c>
      <c r="M52" s="29">
        <f>YearFracStr(H37,H38,L52)</f>
        <v>0.24931506849315069</v>
      </c>
      <c r="N52" s="41">
        <f ca="1">EXP(-(K52/10000)*M52)</f>
        <v>0.9919516173226185</v>
      </c>
    </row>
    <row r="53" spans="1:14" ht="15">
      <c r="A53" s="82" t="s">
        <v>25</v>
      </c>
      <c r="B53" s="2" t="s">
        <v>26</v>
      </c>
      <c r="C53" s="3">
        <f t="shared" ref="C53:D66" si="6">C20</f>
        <v>0</v>
      </c>
      <c r="D53" s="4">
        <f t="shared" si="6"/>
        <v>41312</v>
      </c>
      <c r="E53" s="22">
        <f t="shared" ref="E53:E66" si="7">E20+1</f>
        <v>380.24576500000001</v>
      </c>
      <c r="F53" s="27"/>
      <c r="G53" s="36" t="s">
        <v>40</v>
      </c>
      <c r="H53" s="37">
        <f>$B$3</f>
        <v>41310</v>
      </c>
      <c r="I53" s="28"/>
      <c r="J53" s="28"/>
      <c r="K53" s="28"/>
      <c r="L53" s="27"/>
      <c r="M53" s="46"/>
      <c r="N53" s="35"/>
    </row>
    <row r="54" spans="1:14" ht="15" customHeight="1">
      <c r="A54" s="82"/>
      <c r="B54" s="2" t="s">
        <v>27</v>
      </c>
      <c r="C54" s="3">
        <f t="shared" si="6"/>
        <v>1</v>
      </c>
      <c r="D54" s="4">
        <f t="shared" si="6"/>
        <v>41340</v>
      </c>
      <c r="E54" s="22">
        <f t="shared" si="7"/>
        <v>375.04393500000003</v>
      </c>
      <c r="F54" s="27"/>
      <c r="G54" s="42" t="s">
        <v>41</v>
      </c>
      <c r="H54" s="28">
        <f>D53</f>
        <v>41312</v>
      </c>
      <c r="I54" s="47"/>
      <c r="J54" s="28"/>
      <c r="K54" s="28"/>
      <c r="L54" s="28"/>
      <c r="M54" s="46"/>
      <c r="N54" s="35"/>
    </row>
    <row r="55" spans="1:14" ht="15">
      <c r="A55" s="82"/>
      <c r="B55" s="2" t="s">
        <v>28</v>
      </c>
      <c r="C55" s="3">
        <f t="shared" si="6"/>
        <v>2</v>
      </c>
      <c r="D55" s="4">
        <f t="shared" si="6"/>
        <v>41372</v>
      </c>
      <c r="E55" s="22">
        <f t="shared" si="7"/>
        <v>367.30165</v>
      </c>
      <c r="F55" s="27"/>
      <c r="G55" s="42" t="s">
        <v>52</v>
      </c>
      <c r="H55" s="43">
        <f>$B$2</f>
        <v>41366</v>
      </c>
      <c r="I55" s="28"/>
      <c r="J55" s="48"/>
      <c r="M55" s="46"/>
      <c r="N55" s="35"/>
    </row>
    <row r="56" spans="1:14" ht="15">
      <c r="A56" s="82"/>
      <c r="B56" s="2" t="s">
        <v>29</v>
      </c>
      <c r="C56" s="3">
        <f t="shared" si="6"/>
        <v>3</v>
      </c>
      <c r="D56" s="4">
        <f t="shared" si="6"/>
        <v>41401</v>
      </c>
      <c r="E56" s="22">
        <f t="shared" si="7"/>
        <v>363.68097999999998</v>
      </c>
      <c r="F56" s="27"/>
      <c r="I56" s="28"/>
      <c r="J56" s="28"/>
      <c r="K56" s="28"/>
      <c r="L56" s="28"/>
      <c r="M56" s="46"/>
      <c r="N56" s="35"/>
    </row>
    <row r="57" spans="1:14" ht="15.75" thickBot="1">
      <c r="A57" s="82"/>
      <c r="B57" s="2" t="s">
        <v>30</v>
      </c>
      <c r="C57" s="3">
        <f t="shared" si="6"/>
        <v>4</v>
      </c>
      <c r="D57" s="4">
        <f t="shared" si="6"/>
        <v>41493</v>
      </c>
      <c r="E57" s="22">
        <f t="shared" si="7"/>
        <v>348.32421499999998</v>
      </c>
      <c r="F57" s="27"/>
      <c r="G57" s="27"/>
      <c r="H57" s="27"/>
      <c r="I57" s="49"/>
      <c r="J57" s="28"/>
      <c r="K57" s="28"/>
      <c r="L57" s="28"/>
      <c r="M57" s="46"/>
      <c r="N57" s="35"/>
    </row>
    <row r="58" spans="1:14" ht="15.75" thickBot="1">
      <c r="A58" s="82"/>
      <c r="B58" s="2" t="s">
        <v>31</v>
      </c>
      <c r="C58" s="3">
        <f t="shared" si="6"/>
        <v>5</v>
      </c>
      <c r="D58" s="4">
        <f t="shared" si="6"/>
        <v>41585</v>
      </c>
      <c r="E58" s="22">
        <f t="shared" si="7"/>
        <v>333.34462499999995</v>
      </c>
      <c r="F58" s="27"/>
      <c r="G58" s="9" t="s">
        <v>48</v>
      </c>
      <c r="H58" s="13">
        <f ca="1">H60 + YearFracStr(G60,H55,L50)/YearFracStr(G60,G61,L50)*(H61-H60)</f>
        <v>368.75332843749999</v>
      </c>
      <c r="I58" s="27"/>
      <c r="J58" s="19" t="s">
        <v>55</v>
      </c>
      <c r="K58" s="21">
        <f ca="1">(EXP(0.0001*(H40-$G$2)*YearFracStr(H37,H38,L50)) -1)*N52*$D$2*N51</f>
        <v>296.73251165336006</v>
      </c>
      <c r="L58" s="27"/>
      <c r="M58" s="27"/>
      <c r="N58" s="50"/>
    </row>
    <row r="59" spans="1:14" ht="15">
      <c r="A59" s="82"/>
      <c r="B59" s="2" t="s">
        <v>32</v>
      </c>
      <c r="C59" s="3">
        <f t="shared" si="6"/>
        <v>6</v>
      </c>
      <c r="D59" s="4">
        <f t="shared" si="6"/>
        <v>41677</v>
      </c>
      <c r="E59" s="22">
        <f t="shared" si="7"/>
        <v>325.861245</v>
      </c>
      <c r="F59" s="27"/>
      <c r="G59" s="10" t="s">
        <v>49</v>
      </c>
      <c r="H59" s="11" t="s">
        <v>50</v>
      </c>
      <c r="I59" s="27"/>
      <c r="J59" s="27"/>
      <c r="K59" s="27"/>
      <c r="L59" s="27"/>
      <c r="M59" s="27"/>
      <c r="N59" s="50"/>
    </row>
    <row r="60" spans="1:14" ht="15">
      <c r="A60" s="82"/>
      <c r="B60" s="2" t="s">
        <v>33</v>
      </c>
      <c r="C60" s="3">
        <f t="shared" si="6"/>
        <v>7</v>
      </c>
      <c r="D60" s="4">
        <f t="shared" si="6"/>
        <v>42044</v>
      </c>
      <c r="E60" s="22">
        <f t="shared" si="7"/>
        <v>322.11622499999999</v>
      </c>
      <c r="F60" s="27"/>
      <c r="G60" s="5">
        <f>LOOKUP(H55,D53:D66)</f>
        <v>41340</v>
      </c>
      <c r="H60" s="6">
        <f>VLOOKUP(G60,D53:E66,2,FALSE)</f>
        <v>375.04393500000003</v>
      </c>
      <c r="I60" s="27"/>
      <c r="J60" s="27"/>
      <c r="K60" s="27"/>
      <c r="L60" s="27"/>
      <c r="M60" s="27"/>
      <c r="N60" s="50"/>
    </row>
    <row r="61" spans="1:14" ht="15.75" thickBot="1">
      <c r="A61" s="82"/>
      <c r="B61" s="2" t="s">
        <v>34</v>
      </c>
      <c r="C61" s="3">
        <f t="shared" si="6"/>
        <v>8</v>
      </c>
      <c r="D61" s="4">
        <f t="shared" si="6"/>
        <v>42408</v>
      </c>
      <c r="E61" s="22">
        <f t="shared" si="7"/>
        <v>326.35897</v>
      </c>
      <c r="F61" s="27"/>
      <c r="G61" s="7">
        <f ca="1">OFFSET(D53,MATCH(G60,D53:D66,),0)</f>
        <v>41372</v>
      </c>
      <c r="H61" s="8">
        <f ca="1">VLOOKUP(G61,D53:E66,2,FALSE)</f>
        <v>367.30165</v>
      </c>
      <c r="I61" s="46"/>
      <c r="J61" s="46"/>
      <c r="K61" s="46"/>
      <c r="L61" s="46"/>
      <c r="M61" s="46"/>
      <c r="N61" s="61"/>
    </row>
    <row r="62" spans="1:14" ht="15">
      <c r="A62" s="82"/>
      <c r="B62" s="2" t="s">
        <v>35</v>
      </c>
      <c r="C62" s="3">
        <f t="shared" si="6"/>
        <v>9</v>
      </c>
      <c r="D62" s="4">
        <f t="shared" si="6"/>
        <v>42773</v>
      </c>
      <c r="E62" s="22">
        <f t="shared" si="7"/>
        <v>342.20114999999998</v>
      </c>
      <c r="F62" s="27"/>
      <c r="G62" s="27"/>
      <c r="H62" s="27"/>
      <c r="I62" s="27"/>
      <c r="J62" s="27"/>
      <c r="K62" s="27"/>
      <c r="L62" s="27"/>
      <c r="M62" s="27"/>
      <c r="N62" s="50"/>
    </row>
    <row r="63" spans="1:14" ht="15">
      <c r="A63" s="82"/>
      <c r="B63" s="2" t="s">
        <v>36</v>
      </c>
      <c r="C63" s="3">
        <f t="shared" si="6"/>
        <v>10</v>
      </c>
      <c r="D63" s="4">
        <f t="shared" si="6"/>
        <v>43138</v>
      </c>
      <c r="E63" s="22">
        <f t="shared" si="7"/>
        <v>350.60879</v>
      </c>
      <c r="F63" s="27"/>
      <c r="G63" s="27"/>
      <c r="H63" s="27"/>
      <c r="I63" s="27"/>
      <c r="J63" s="27"/>
      <c r="K63" s="27"/>
      <c r="L63" s="27"/>
      <c r="M63" s="27"/>
      <c r="N63" s="50"/>
    </row>
    <row r="64" spans="1:14" ht="15">
      <c r="A64" s="82"/>
      <c r="B64" s="2" t="s">
        <v>37</v>
      </c>
      <c r="C64" s="3">
        <f t="shared" si="6"/>
        <v>11</v>
      </c>
      <c r="D64" s="4">
        <f t="shared" si="6"/>
        <v>43868</v>
      </c>
      <c r="E64" s="22">
        <f t="shared" si="7"/>
        <v>365.32606999999996</v>
      </c>
      <c r="F64" s="27"/>
      <c r="G64" s="27"/>
      <c r="H64" s="27"/>
      <c r="I64" s="27"/>
      <c r="J64" s="27"/>
      <c r="K64" s="27"/>
      <c r="L64" s="27"/>
      <c r="M64" s="27"/>
      <c r="N64" s="50"/>
    </row>
    <row r="65" spans="1:14" ht="15">
      <c r="A65" s="82"/>
      <c r="B65" s="2" t="s">
        <v>38</v>
      </c>
      <c r="C65" s="3">
        <f t="shared" si="6"/>
        <v>12</v>
      </c>
      <c r="D65" s="4">
        <f t="shared" si="6"/>
        <v>44964</v>
      </c>
      <c r="E65" s="22">
        <f t="shared" si="7"/>
        <v>397.601045</v>
      </c>
      <c r="F65" s="27"/>
      <c r="G65" s="27"/>
      <c r="H65" s="27"/>
      <c r="I65" s="27"/>
      <c r="J65" s="27"/>
      <c r="K65" s="27"/>
      <c r="L65" s="27"/>
      <c r="M65" s="27"/>
      <c r="N65" s="50"/>
    </row>
    <row r="66" spans="1:14" ht="15.75" thickBot="1">
      <c r="A66" s="83"/>
      <c r="B66" s="51" t="s">
        <v>39</v>
      </c>
      <c r="C66" s="52">
        <f t="shared" si="6"/>
        <v>13</v>
      </c>
      <c r="D66" s="18">
        <f t="shared" si="6"/>
        <v>48617</v>
      </c>
      <c r="E66" s="53">
        <f t="shared" si="7"/>
        <v>429.73225500000001</v>
      </c>
      <c r="F66" s="54"/>
      <c r="G66" s="54"/>
      <c r="H66" s="54"/>
      <c r="I66" s="54"/>
      <c r="J66" s="54"/>
      <c r="K66" s="54"/>
      <c r="L66" s="54"/>
      <c r="M66" s="54"/>
      <c r="N66" s="55"/>
    </row>
  </sheetData>
  <mergeCells count="6">
    <mergeCell ref="A37:A50"/>
    <mergeCell ref="A53:A66"/>
    <mergeCell ref="P3:Q4"/>
    <mergeCell ref="R3:R4"/>
    <mergeCell ref="A4:A17"/>
    <mergeCell ref="A20:A33"/>
  </mergeCells>
  <phoneticPr fontId="2" type="noConversion"/>
  <pageMargins left="0.75" right="0.75" top="1" bottom="1" header="0.5" footer="0.5"/>
  <headerFooter alignWithMargins="0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B2"/>
  <sheetViews>
    <sheetView workbookViewId="0">
      <selection activeCell="I13" sqref="I13"/>
    </sheetView>
  </sheetViews>
  <sheetFormatPr defaultRowHeight="12.75"/>
  <cols>
    <col min="2" max="2" width="11" bestFit="1" customWidth="1"/>
  </cols>
  <sheetData>
    <row r="2" spans="1:2">
      <c r="A2" t="s">
        <v>57</v>
      </c>
      <c r="B2">
        <v>284.44105901793023</v>
      </c>
    </row>
  </sheetData>
  <phoneticPr fontId="16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2</vt:i4>
      </vt:variant>
    </vt:vector>
  </HeadingPairs>
  <TitlesOfParts>
    <vt:vector size="2" baseType="lpstr">
      <vt:lpstr>Logic</vt:lpstr>
      <vt:lpstr>Temp</vt:lpstr>
    </vt:vector>
  </TitlesOfParts>
  <Company>UniCredit Servizi Informativi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USI</dc:creator>
  <cp:lastModifiedBy>stokowiecw</cp:lastModifiedBy>
  <dcterms:created xsi:type="dcterms:W3CDTF">2014-06-23T08:25:33Z</dcterms:created>
  <dcterms:modified xsi:type="dcterms:W3CDTF">2014-09-03T14:27:09Z</dcterms:modified>
</cp:coreProperties>
</file>