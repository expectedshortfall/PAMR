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8C4F1C90-05EB-6A55-5F09-09C24B55AC0B}"/>
  <workbookPr codeName="ThisWorkbook" defaultThemeVersion="124226"/>
  <bookViews>
    <workbookView xWindow="480" yWindow="75" windowWidth="13260" windowHeight="6480" activeTab="1"/>
  </bookViews>
  <sheets>
    <sheet name="Logic" sheetId="1" r:id="rId1"/>
    <sheet name="Temp" sheetId="6" r:id="rId2"/>
  </sheets>
  <calcPr calcId="114210"/>
</workbook>
</file>

<file path=xl/calcChain.xml><?xml version="1.0" encoding="utf-8"?>
<calcChain xmlns="http://schemas.openxmlformats.org/spreadsheetml/2006/main">
  <c r="K13" i="1"/>
  <c r="L13"/>
  <c r="L10"/>
  <c r="G13"/>
  <c r="H13"/>
  <c r="H10"/>
  <c r="H8"/>
  <c r="K20"/>
  <c r="N20"/>
  <c r="G25"/>
  <c r="H25"/>
  <c r="H22"/>
  <c r="K19"/>
  <c r="N19"/>
  <c r="L23"/>
  <c r="D8"/>
  <c r="D4"/>
  <c r="D2"/>
  <c r="D3"/>
  <c r="G12"/>
  <c r="H12"/>
  <c r="B1"/>
  <c r="H17"/>
  <c r="C2"/>
  <c r="C3"/>
  <c r="C4"/>
  <c r="C5"/>
  <c r="H5"/>
  <c r="C6"/>
  <c r="H6"/>
  <c r="C7"/>
  <c r="C8"/>
  <c r="C9"/>
  <c r="C10"/>
  <c r="C11"/>
  <c r="C12"/>
  <c r="C13"/>
  <c r="C14"/>
  <c r="C15"/>
  <c r="C18"/>
  <c r="K18"/>
  <c r="C19"/>
  <c r="C20"/>
  <c r="H20"/>
  <c r="C21"/>
  <c r="C22"/>
  <c r="C23"/>
  <c r="C24"/>
  <c r="C25"/>
  <c r="C26"/>
  <c r="C27"/>
  <c r="C28"/>
  <c r="C29"/>
  <c r="C30"/>
  <c r="C31"/>
  <c r="D23"/>
  <c r="D26"/>
  <c r="D30"/>
  <c r="D28"/>
  <c r="D6"/>
  <c r="D5"/>
  <c r="D9"/>
  <c r="D7"/>
  <c r="D13"/>
  <c r="D11"/>
  <c r="M19"/>
  <c r="D15"/>
  <c r="D22"/>
  <c r="M20"/>
  <c r="D31"/>
  <c r="D24"/>
  <c r="D18"/>
  <c r="D29"/>
  <c r="D27"/>
  <c r="I6"/>
  <c r="I5"/>
  <c r="D10"/>
  <c r="D14"/>
  <c r="D12"/>
  <c r="D20"/>
  <c r="D19"/>
  <c r="D21"/>
  <c r="D25"/>
  <c r="H19"/>
  <c r="G24"/>
  <c r="K12"/>
  <c r="H4"/>
  <c r="M18"/>
  <c r="N18"/>
  <c r="L12"/>
  <c r="H24"/>
</calcChain>
</file>

<file path=xl/comments1.xml><?xml version="1.0" encoding="utf-8"?>
<comments xmlns="http://schemas.openxmlformats.org/spreadsheetml/2006/main">
  <authors>
    <author>user</author>
  </authors>
  <commentList>
    <comment ref="B18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<sst xmlns="http://schemas.openxmlformats.org/spreadsheetml/2006/main" count="72" uniqueCount="58">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</sst>
</file>

<file path=xl/styles.xml><?xml version="1.0" encoding="utf-8"?>
<styleSheet xmlns="http://schemas.openxmlformats.org/spreadsheetml/2006/main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5">
    <font>
      <sz val="10"/>
      <name val="Arial"/>
      <charset val="238"/>
    </font>
    <font>
      <sz val="10"/>
      <name val="Arial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11"/>
      <color indexed="17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b/>
      <sz val="11"/>
      <color indexed="8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4" fillId="3" borderId="1" applyNumberFormat="0" applyAlignment="0" applyProtection="0"/>
    <xf numFmtId="0" fontId="5" fillId="4" borderId="2" applyNumberFormat="0" applyAlignment="0" applyProtection="0"/>
    <xf numFmtId="0" fontId="6" fillId="2" borderId="0" applyNumberFormat="0" applyBorder="0" applyAlignment="0" applyProtection="0"/>
    <xf numFmtId="0" fontId="7" fillId="0" borderId="3" applyNumberFormat="0" applyFill="0" applyAlignment="0" applyProtection="0"/>
    <xf numFmtId="0" fontId="3" fillId="0" borderId="0"/>
    <xf numFmtId="9" fontId="1" fillId="0" borderId="0" applyFont="0" applyFill="0" applyBorder="0" applyAlignment="0" applyProtection="0"/>
    <xf numFmtId="0" fontId="8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21" fillId="5" borderId="0" applyNumberFormat="0" applyBorder="0" applyAlignment="0" applyProtection="0"/>
    <xf numFmtId="0" fontId="22" fillId="0" borderId="18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19" applyNumberFormat="0" applyFill="0" applyAlignment="0" applyProtection="0"/>
  </cellStyleXfs>
  <cellXfs count="53">
    <xf numFmtId="0" fontId="0" fillId="0" borderId="0" xfId="0"/>
    <xf numFmtId="0" fontId="3" fillId="0" borderId="0" xfId="6" applyAlignment="1">
      <alignment horizontal="center" vertical="center" wrapText="1"/>
    </xf>
    <xf numFmtId="0" fontId="3" fillId="0" borderId="0" xfId="6"/>
    <xf numFmtId="14" fontId="3" fillId="0" borderId="0" xfId="6" applyNumberFormat="1"/>
    <xf numFmtId="14" fontId="3" fillId="0" borderId="0" xfId="6" applyNumberFormat="1" applyAlignment="1">
      <alignment horizontal="center" vertical="center" wrapText="1"/>
    </xf>
    <xf numFmtId="14" fontId="0" fillId="0" borderId="0" xfId="0" applyNumberFormat="1"/>
    <xf numFmtId="167" fontId="3" fillId="0" borderId="0" xfId="1" applyNumberFormat="1" applyFont="1" applyAlignment="1">
      <alignment horizontal="center" vertical="center" wrapText="1"/>
    </xf>
    <xf numFmtId="14" fontId="10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14" fontId="12" fillId="0" borderId="0" xfId="6" applyNumberFormat="1" applyFont="1" applyAlignment="1">
      <alignment horizontal="center" vertical="center" wrapText="1"/>
    </xf>
    <xf numFmtId="166" fontId="3" fillId="0" borderId="0" xfId="1" applyNumberFormat="1" applyFont="1" applyAlignment="1">
      <alignment horizontal="center" vertical="center" wrapText="1"/>
    </xf>
    <xf numFmtId="164" fontId="3" fillId="0" borderId="0" xfId="1" applyNumberFormat="1" applyFont="1" applyAlignment="1">
      <alignment horizontal="center" vertical="center" wrapText="1"/>
    </xf>
    <xf numFmtId="14" fontId="17" fillId="0" borderId="5" xfId="0" applyNumberFormat="1" applyFont="1" applyBorder="1"/>
    <xf numFmtId="1" fontId="3" fillId="0" borderId="5" xfId="6" applyNumberFormat="1" applyBorder="1"/>
    <xf numFmtId="14" fontId="0" fillId="0" borderId="5" xfId="0" applyNumberFormat="1" applyBorder="1"/>
    <xf numFmtId="0" fontId="10" fillId="0" borderId="0" xfId="0" applyFont="1" applyAlignment="1">
      <alignment horizontal="center" vertical="center"/>
    </xf>
    <xf numFmtId="14" fontId="14" fillId="0" borderId="0" xfId="6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3" fillId="0" borderId="0" xfId="6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3" fillId="0" borderId="0" xfId="1" applyNumberFormat="1" applyFont="1" applyAlignment="1">
      <alignment horizontal="center" vertical="center" wrapText="1"/>
    </xf>
    <xf numFmtId="170" fontId="3" fillId="0" borderId="0" xfId="6" applyNumberFormat="1"/>
    <xf numFmtId="14" fontId="0" fillId="0" borderId="6" xfId="0" applyNumberFormat="1" applyBorder="1"/>
    <xf numFmtId="2" fontId="18" fillId="0" borderId="7" xfId="0" applyNumberFormat="1" applyFont="1" applyBorder="1"/>
    <xf numFmtId="14" fontId="0" fillId="0" borderId="8" xfId="0" applyNumberFormat="1" applyBorder="1"/>
    <xf numFmtId="2" fontId="18" fillId="0" borderId="9" xfId="0" applyNumberFormat="1" applyFont="1" applyBorder="1"/>
    <xf numFmtId="14" fontId="12" fillId="0" borderId="10" xfId="6" applyNumberFormat="1" applyFont="1" applyBorder="1" applyAlignment="1">
      <alignment horizontal="center" vertical="center" wrapText="1"/>
    </xf>
    <xf numFmtId="14" fontId="3" fillId="0" borderId="11" xfId="6" applyNumberFormat="1" applyBorder="1" applyAlignment="1">
      <alignment horizontal="center" vertical="center" wrapText="1"/>
    </xf>
    <xf numFmtId="14" fontId="3" fillId="0" borderId="12" xfId="6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14" fontId="3" fillId="0" borderId="0" xfId="6" applyNumberFormat="1" applyAlignment="1">
      <alignment horizontal="right" vertical="center" wrapText="1"/>
    </xf>
    <xf numFmtId="171" fontId="19" fillId="0" borderId="13" xfId="1" applyNumberFormat="1" applyFont="1" applyBorder="1" applyAlignment="1">
      <alignment horizontal="center" vertical="center" wrapText="1"/>
    </xf>
    <xf numFmtId="14" fontId="3" fillId="0" borderId="0" xfId="6" applyNumberFormat="1" applyFill="1" applyAlignment="1">
      <alignment horizontal="center" vertical="center" wrapText="1"/>
    </xf>
    <xf numFmtId="172" fontId="19" fillId="0" borderId="0" xfId="1" applyNumberFormat="1" applyFont="1" applyBorder="1" applyAlignment="1">
      <alignment horizontal="center" vertical="center" wrapText="1"/>
    </xf>
    <xf numFmtId="0" fontId="10" fillId="0" borderId="11" xfId="0" applyFont="1" applyBorder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14" fontId="0" fillId="0" borderId="15" xfId="0" applyNumberFormat="1" applyBorder="1"/>
    <xf numFmtId="3" fontId="0" fillId="0" borderId="15" xfId="0" applyNumberFormat="1" applyBorder="1"/>
    <xf numFmtId="0" fontId="0" fillId="0" borderId="15" xfId="0" applyBorder="1"/>
    <xf numFmtId="0" fontId="0" fillId="0" borderId="9" xfId="0" applyBorder="1"/>
    <xf numFmtId="14" fontId="3" fillId="0" borderId="0" xfId="6" applyNumberFormat="1" applyAlignment="1">
      <alignment vertical="center" wrapText="1"/>
    </xf>
    <xf numFmtId="14" fontId="12" fillId="0" borderId="16" xfId="6" applyNumberFormat="1" applyFont="1" applyBorder="1" applyAlignment="1">
      <alignment vertical="center" wrapText="1"/>
    </xf>
    <xf numFmtId="10" fontId="19" fillId="0" borderId="0" xfId="7" applyNumberFormat="1" applyFont="1" applyBorder="1" applyAlignment="1">
      <alignment horizontal="center" vertical="center" wrapText="1"/>
    </xf>
    <xf numFmtId="165" fontId="3" fillId="0" borderId="0" xfId="1" applyNumberFormat="1" applyFont="1" applyAlignment="1">
      <alignment horizontal="center" vertical="center" wrapText="1"/>
    </xf>
    <xf numFmtId="169" fontId="19" fillId="0" borderId="17" xfId="1" applyNumberFormat="1" applyFont="1" applyBorder="1" applyAlignment="1">
      <alignment horizontal="center" vertical="center" wrapText="1"/>
    </xf>
    <xf numFmtId="0" fontId="18" fillId="0" borderId="5" xfId="0" applyFont="1" applyBorder="1"/>
    <xf numFmtId="168" fontId="18" fillId="0" borderId="5" xfId="0" applyNumberFormat="1" applyFont="1" applyBorder="1"/>
    <xf numFmtId="1" fontId="3" fillId="0" borderId="0" xfId="6" applyNumberFormat="1"/>
    <xf numFmtId="0" fontId="13" fillId="0" borderId="0" xfId="0" applyFont="1" applyAlignment="1">
      <alignment horizontal="center" vertical="center" textRotation="90"/>
    </xf>
  </cellXfs>
  <cellStyles count="14">
    <cellStyle name="Cella collegata" xfId="11" builtinId="24" hidden="1"/>
    <cellStyle name="Dane wejściowe" xfId="2"/>
    <cellStyle name="Dane wyjściowe" xfId="3"/>
    <cellStyle name="Dobre" xfId="4"/>
    <cellStyle name="Komórka połączona" xfId="5"/>
    <cellStyle name="Migliaia" xfId="1" builtinId="3"/>
    <cellStyle name="Normal_Sheet1" xfId="6"/>
    <cellStyle name="Normale" xfId="0" builtinId="0"/>
    <cellStyle name="Percentuale" xfId="7" builtinId="5"/>
    <cellStyle name="Suma" xfId="8"/>
    <cellStyle name="Tekst ostrzeżenia" xfId="9"/>
    <cellStyle name="Testo avviso" xfId="12" builtinId="11" hidden="1"/>
    <cellStyle name="Totale" xfId="13" builtinId="25" hidden="1"/>
    <cellStyle name="Valore valido" xfId="10" builtinId="26" hidde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2"/>
  <sheetViews>
    <sheetView zoomScale="85" zoomScaleNormal="85" workbookViewId="0">
      <selection activeCell="K25" sqref="K25"/>
    </sheetView>
  </sheetViews>
  <sheetFormatPr defaultRowHeight="12.75"/>
  <cols>
    <col min="1" max="1" width="7.140625" customWidth="1"/>
    <col min="2" max="2" width="10.5703125" bestFit="1" customWidth="1"/>
    <col min="3" max="3" width="3.285156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6" bestFit="1" customWidth="1"/>
    <col min="9" max="9" width="13.42578125" bestFit="1" customWidth="1"/>
    <col min="10" max="10" width="10.140625" bestFit="1" customWidth="1"/>
    <col min="11" max="11" width="14.28515625" bestFit="1" customWidth="1"/>
    <col min="12" max="12" width="24" bestFit="1" customWidth="1"/>
    <col min="13" max="13" width="11.28515625" bestFit="1" customWidth="1"/>
    <col min="14" max="14" width="18.7109375" customWidth="1"/>
  </cols>
  <sheetData>
    <row r="1" spans="1:15" ht="15.75" customHeight="1">
      <c r="B1" s="7">
        <f>DATE(2013,2,5)</f>
        <v>41310</v>
      </c>
      <c r="C1" s="8"/>
      <c r="D1" s="17" t="s">
        <v>14</v>
      </c>
      <c r="E1" s="17" t="s">
        <v>15</v>
      </c>
      <c r="F1" s="31"/>
      <c r="G1" s="37" t="s">
        <v>16</v>
      </c>
      <c r="H1" s="38" t="s">
        <v>17</v>
      </c>
      <c r="I1" s="38" t="s">
        <v>51</v>
      </c>
      <c r="J1" s="38" t="s">
        <v>18</v>
      </c>
      <c r="K1" s="38" t="s">
        <v>19</v>
      </c>
      <c r="L1" s="38" t="s">
        <v>20</v>
      </c>
      <c r="M1" s="38" t="s">
        <v>15</v>
      </c>
      <c r="N1" s="39" t="s">
        <v>21</v>
      </c>
    </row>
    <row r="2" spans="1:15" ht="15" customHeight="1" thickBot="1">
      <c r="A2" s="52" t="s">
        <v>24</v>
      </c>
      <c r="B2" s="14" t="s">
        <v>0</v>
      </c>
      <c r="C2" s="15">
        <f>ROW(B2)-ROW($B$2)</f>
        <v>0</v>
      </c>
      <c r="D2" s="16">
        <f t="shared" ref="D2:D15" si="0">CurveTenorDate($B$1,C2)</f>
        <v>41312</v>
      </c>
      <c r="E2" s="49">
        <v>359.31397500000003</v>
      </c>
      <c r="G2" s="26">
        <v>41271</v>
      </c>
      <c r="H2" s="40">
        <v>41366</v>
      </c>
      <c r="I2" s="40">
        <v>41457</v>
      </c>
      <c r="J2" s="41">
        <v>500000</v>
      </c>
      <c r="K2" s="42" t="s">
        <v>22</v>
      </c>
      <c r="L2" s="42" t="s">
        <v>23</v>
      </c>
      <c r="M2" s="42">
        <v>300</v>
      </c>
      <c r="N2" s="43">
        <v>-2</v>
      </c>
      <c r="O2" s="4"/>
    </row>
    <row r="3" spans="1:15" ht="15">
      <c r="A3" s="52"/>
      <c r="B3" s="14" t="s">
        <v>1</v>
      </c>
      <c r="C3" s="15">
        <f t="shared" ref="C3:C15" si="1">ROW(B3)-ROW($B$2)</f>
        <v>1</v>
      </c>
      <c r="D3" s="16">
        <f t="shared" si="0"/>
        <v>41340</v>
      </c>
      <c r="E3" s="49">
        <v>364.28491499999996</v>
      </c>
      <c r="G3" s="4"/>
      <c r="H3" s="6"/>
      <c r="I3" s="4"/>
      <c r="J3" s="4"/>
      <c r="K3" s="4"/>
      <c r="L3" s="4"/>
      <c r="M3" s="4"/>
      <c r="N3" s="1"/>
    </row>
    <row r="4" spans="1:15" ht="15">
      <c r="A4" s="52"/>
      <c r="B4" s="14" t="s">
        <v>2</v>
      </c>
      <c r="C4" s="15">
        <f t="shared" si="1"/>
        <v>2</v>
      </c>
      <c r="D4" s="16">
        <f t="shared" si="0"/>
        <v>41372</v>
      </c>
      <c r="E4" s="49">
        <v>352.25292999999999</v>
      </c>
      <c r="G4" s="9" t="s">
        <v>40</v>
      </c>
      <c r="H4" s="11">
        <f>$B$1</f>
        <v>41310</v>
      </c>
      <c r="I4" s="4"/>
      <c r="J4" s="4"/>
      <c r="K4" s="4"/>
      <c r="L4" s="4"/>
      <c r="M4" s="4"/>
      <c r="N4" s="2"/>
    </row>
    <row r="5" spans="1:15" ht="15">
      <c r="A5" s="52"/>
      <c r="B5" s="14" t="s">
        <v>3</v>
      </c>
      <c r="C5" s="15">
        <f t="shared" si="1"/>
        <v>3</v>
      </c>
      <c r="D5" s="16">
        <f t="shared" si="0"/>
        <v>41401</v>
      </c>
      <c r="E5" s="49">
        <v>347.26855499999999</v>
      </c>
      <c r="G5" s="4" t="s">
        <v>52</v>
      </c>
      <c r="H5" s="4">
        <f>H2</f>
        <v>41366</v>
      </c>
      <c r="I5" s="12">
        <f>YearFracStr($H$4,H5,L18)</f>
        <v>0.15342465753424658</v>
      </c>
      <c r="J5" s="4"/>
      <c r="K5" s="4"/>
      <c r="L5" s="4"/>
      <c r="M5" s="4"/>
      <c r="N5" s="2"/>
    </row>
    <row r="6" spans="1:15" ht="15">
      <c r="A6" s="52"/>
      <c r="B6" s="14" t="s">
        <v>4</v>
      </c>
      <c r="C6" s="15">
        <f t="shared" si="1"/>
        <v>4</v>
      </c>
      <c r="D6" s="16">
        <f t="shared" si="0"/>
        <v>41493</v>
      </c>
      <c r="E6" s="49">
        <v>327.246645</v>
      </c>
      <c r="G6" s="4" t="s">
        <v>53</v>
      </c>
      <c r="H6" s="4">
        <f>I2</f>
        <v>41457</v>
      </c>
      <c r="I6" s="12">
        <f>YearFracStr($H$4,H6,L19)</f>
        <v>0.40273972602739727</v>
      </c>
      <c r="J6" s="4"/>
      <c r="K6" s="4"/>
      <c r="L6" s="4"/>
      <c r="M6" s="4"/>
      <c r="N6" s="2"/>
    </row>
    <row r="7" spans="1:15" ht="15">
      <c r="A7" s="52"/>
      <c r="B7" s="14" t="s">
        <v>5</v>
      </c>
      <c r="C7" s="15">
        <f t="shared" si="1"/>
        <v>5</v>
      </c>
      <c r="D7" s="16">
        <f t="shared" si="0"/>
        <v>41585</v>
      </c>
      <c r="E7" s="49">
        <v>313.25873000000001</v>
      </c>
      <c r="I7" s="4"/>
      <c r="J7" s="4"/>
      <c r="K7" s="4"/>
      <c r="L7" s="4"/>
      <c r="M7" s="4"/>
      <c r="N7" s="2"/>
    </row>
    <row r="8" spans="1:15" ht="15">
      <c r="A8" s="52"/>
      <c r="B8" s="14" t="s">
        <v>6</v>
      </c>
      <c r="C8" s="15">
        <f t="shared" si="1"/>
        <v>6</v>
      </c>
      <c r="D8" s="16">
        <f t="shared" si="0"/>
        <v>41677</v>
      </c>
      <c r="E8" s="49">
        <v>305.35547500000001</v>
      </c>
      <c r="G8" s="35" t="s">
        <v>54</v>
      </c>
      <c r="H8" s="36">
        <f ca="1">(L10*I6-H10*I5)/(I6-I5)</f>
        <v>323.12584589464888</v>
      </c>
      <c r="I8" s="46"/>
      <c r="J8" s="47"/>
      <c r="K8" s="4"/>
      <c r="L8" s="4"/>
      <c r="M8" s="4"/>
      <c r="N8" s="2"/>
    </row>
    <row r="9" spans="1:15" ht="15.75" thickBot="1">
      <c r="A9" s="52"/>
      <c r="B9" s="14" t="s">
        <v>7</v>
      </c>
      <c r="C9" s="15">
        <f t="shared" si="1"/>
        <v>7</v>
      </c>
      <c r="D9" s="16">
        <f t="shared" si="0"/>
        <v>42044</v>
      </c>
      <c r="E9" s="49">
        <v>299.96478000000002</v>
      </c>
      <c r="G9" s="4"/>
      <c r="H9" s="6"/>
      <c r="I9" s="4"/>
      <c r="J9" s="4"/>
      <c r="K9" s="4"/>
      <c r="L9" s="4"/>
      <c r="M9" s="4"/>
      <c r="N9" s="2"/>
    </row>
    <row r="10" spans="1:15" ht="15.75" thickBot="1">
      <c r="A10" s="52"/>
      <c r="B10" s="14" t="s">
        <v>8</v>
      </c>
      <c r="C10" s="15">
        <f t="shared" si="1"/>
        <v>8</v>
      </c>
      <c r="D10" s="16">
        <f t="shared" si="0"/>
        <v>42408</v>
      </c>
      <c r="E10" s="49">
        <v>306.257205</v>
      </c>
      <c r="G10" s="28" t="s">
        <v>52</v>
      </c>
      <c r="H10" s="34">
        <f ca="1">H12+YearFracStr(G12,H5,L18)/YearFracStr(G12,G13,L18)*(H13-H12)</f>
        <v>354.50892718749998</v>
      </c>
      <c r="I10" s="4"/>
      <c r="J10" s="4"/>
      <c r="K10" s="28" t="s">
        <v>52</v>
      </c>
      <c r="L10" s="34">
        <f ca="1">L12+YearFracStr(K12,H6,L18)/YearFracStr(K12,K13,L18)*(L13-L12)</f>
        <v>335.08130543478262</v>
      </c>
      <c r="M10" s="4"/>
      <c r="N10" s="2"/>
    </row>
    <row r="11" spans="1:15" ht="15">
      <c r="A11" s="52"/>
      <c r="B11" s="14" t="s">
        <v>9</v>
      </c>
      <c r="C11" s="15">
        <f t="shared" si="1"/>
        <v>9</v>
      </c>
      <c r="D11" s="16">
        <f t="shared" si="0"/>
        <v>42773</v>
      </c>
      <c r="E11" s="49">
        <v>310.61449500000003</v>
      </c>
      <c r="G11" s="29" t="s">
        <v>49</v>
      </c>
      <c r="H11" s="30" t="s">
        <v>50</v>
      </c>
      <c r="I11" s="4"/>
      <c r="J11" s="4"/>
      <c r="K11" s="29" t="s">
        <v>49</v>
      </c>
      <c r="L11" s="30" t="s">
        <v>50</v>
      </c>
      <c r="M11" s="4"/>
      <c r="N11" s="2"/>
    </row>
    <row r="12" spans="1:15" ht="15">
      <c r="A12" s="52"/>
      <c r="B12" s="14" t="s">
        <v>10</v>
      </c>
      <c r="C12" s="15">
        <f t="shared" si="1"/>
        <v>10</v>
      </c>
      <c r="D12" s="16">
        <f t="shared" si="0"/>
        <v>43138</v>
      </c>
      <c r="E12" s="49">
        <v>317.18485999999996</v>
      </c>
      <c r="F12" s="4"/>
      <c r="G12" s="24">
        <f>LOOKUP(H5,D2:D15)</f>
        <v>41340</v>
      </c>
      <c r="H12" s="25">
        <f>VLOOKUP(G12,D2:E15,2,FALSE)</f>
        <v>364.28491499999996</v>
      </c>
      <c r="I12" s="12"/>
      <c r="J12" s="4"/>
      <c r="K12" s="24">
        <f>LOOKUP(H6,D2:D15)</f>
        <v>41401</v>
      </c>
      <c r="L12" s="25">
        <f>VLOOKUP(K12,D2:E15,2,FALSE)</f>
        <v>347.26855499999999</v>
      </c>
      <c r="M12" s="12"/>
      <c r="N12" s="2"/>
    </row>
    <row r="13" spans="1:15" ht="15.75" thickBot="1">
      <c r="A13" s="52"/>
      <c r="B13" s="14" t="s">
        <v>11</v>
      </c>
      <c r="C13" s="15">
        <f t="shared" si="1"/>
        <v>11</v>
      </c>
      <c r="D13" s="16">
        <f t="shared" si="0"/>
        <v>43868</v>
      </c>
      <c r="E13" s="49">
        <v>329.32075999999995</v>
      </c>
      <c r="F13" s="4"/>
      <c r="G13" s="26">
        <f ca="1">OFFSET(D2,MATCH(G12,D2:D15,),0)</f>
        <v>41372</v>
      </c>
      <c r="H13" s="27">
        <f ca="1">VLOOKUP(G13,D2:E15,2,FALSE)</f>
        <v>352.25292999999999</v>
      </c>
      <c r="I13" s="12"/>
      <c r="J13" s="4"/>
      <c r="K13" s="26">
        <f ca="1">OFFSET(D2,MATCH(K12,D2:D15,),0)</f>
        <v>41493</v>
      </c>
      <c r="L13" s="27">
        <f ca="1">VLOOKUP(K13,D2:E15,2,FALSE)</f>
        <v>327.246645</v>
      </c>
      <c r="M13" s="12"/>
      <c r="N13" s="2"/>
    </row>
    <row r="14" spans="1:15" ht="15">
      <c r="A14" s="52"/>
      <c r="B14" s="14" t="s">
        <v>12</v>
      </c>
      <c r="C14" s="15">
        <f t="shared" si="1"/>
        <v>12</v>
      </c>
      <c r="D14" s="16">
        <f t="shared" si="0"/>
        <v>44964</v>
      </c>
      <c r="E14" s="49">
        <v>346.626305</v>
      </c>
      <c r="F14" s="4"/>
      <c r="G14" s="4"/>
      <c r="H14" s="4"/>
      <c r="I14" s="4"/>
      <c r="J14" s="4"/>
      <c r="K14" s="4"/>
      <c r="L14" s="4"/>
      <c r="M14" s="4"/>
      <c r="N14" s="2"/>
    </row>
    <row r="15" spans="1:15" ht="15">
      <c r="A15" s="52"/>
      <c r="B15" s="14" t="s">
        <v>13</v>
      </c>
      <c r="C15" s="15">
        <f t="shared" si="1"/>
        <v>13</v>
      </c>
      <c r="D15" s="16">
        <f t="shared" si="0"/>
        <v>48617</v>
      </c>
      <c r="E15" s="49">
        <v>331.76047999999997</v>
      </c>
      <c r="F15" s="4"/>
      <c r="G15" s="4"/>
      <c r="H15" s="4"/>
      <c r="I15" s="4"/>
      <c r="J15" s="4"/>
      <c r="K15" s="4"/>
      <c r="L15" s="4"/>
      <c r="M15" s="4"/>
      <c r="N15" s="2"/>
    </row>
    <row r="16" spans="1:15" ht="14.25">
      <c r="A16" s="2"/>
      <c r="B16" s="3"/>
      <c r="C16" s="3"/>
      <c r="D16" s="3"/>
      <c r="E16" s="4"/>
      <c r="F16" s="4"/>
      <c r="G16" s="4"/>
      <c r="H16" s="4"/>
      <c r="I16" s="4"/>
      <c r="J16" s="4"/>
      <c r="N16" s="4"/>
    </row>
    <row r="17" spans="1:14" ht="15">
      <c r="A17" s="2"/>
      <c r="B17" s="3"/>
      <c r="D17" s="17" t="s">
        <v>14</v>
      </c>
      <c r="E17" s="17" t="s">
        <v>15</v>
      </c>
      <c r="F17" s="4"/>
      <c r="G17" s="10" t="s">
        <v>40</v>
      </c>
      <c r="H17" s="11">
        <f>$B$1</f>
        <v>41310</v>
      </c>
      <c r="I17" s="4"/>
      <c r="J17" s="4"/>
      <c r="K17" s="19" t="s">
        <v>15</v>
      </c>
      <c r="L17" s="20" t="s">
        <v>45</v>
      </c>
      <c r="M17" s="4" t="s">
        <v>42</v>
      </c>
      <c r="N17" s="4" t="s">
        <v>47</v>
      </c>
    </row>
    <row r="18" spans="1:14" ht="15">
      <c r="A18" s="52" t="s">
        <v>25</v>
      </c>
      <c r="B18" s="14" t="s">
        <v>26</v>
      </c>
      <c r="C18" s="15">
        <f>ROW(B18)-ROW($B$18)</f>
        <v>0</v>
      </c>
      <c r="D18" s="16">
        <f t="shared" ref="D18:D31" si="2">CurveTenorDate($B$1,C18)</f>
        <v>41312</v>
      </c>
      <c r="E18" s="50">
        <v>379.24576500000001</v>
      </c>
      <c r="F18" s="4"/>
      <c r="G18" s="32"/>
      <c r="I18" s="4"/>
      <c r="J18" s="4" t="s">
        <v>44</v>
      </c>
      <c r="K18" s="21">
        <f>E18</f>
        <v>379.24576500000001</v>
      </c>
      <c r="L18" s="19" t="s">
        <v>46</v>
      </c>
      <c r="M18" s="12">
        <f>YearFracStr(H17,H19,L18)</f>
        <v>5.4794520547945206E-3</v>
      </c>
      <c r="N18" s="12">
        <f>1/(1+M18*$K$18/10000)</f>
        <v>0.99979223727568955</v>
      </c>
    </row>
    <row r="19" spans="1:14" ht="15">
      <c r="A19" s="52"/>
      <c r="B19" s="14" t="s">
        <v>27</v>
      </c>
      <c r="C19" s="15">
        <f t="shared" ref="C19:C31" si="3">ROW(B19)-ROW($B$18)</f>
        <v>1</v>
      </c>
      <c r="D19" s="16">
        <f t="shared" si="2"/>
        <v>41340</v>
      </c>
      <c r="E19" s="50">
        <v>374.04393500000003</v>
      </c>
      <c r="F19" s="4"/>
      <c r="G19" s="33" t="s">
        <v>41</v>
      </c>
      <c r="H19" s="4">
        <f>D18</f>
        <v>41312</v>
      </c>
      <c r="I19" s="4"/>
      <c r="J19" s="4" t="s">
        <v>43</v>
      </c>
      <c r="K19" s="21">
        <f ca="1">H22</f>
        <v>367.75332843749999</v>
      </c>
      <c r="L19" s="19" t="s">
        <v>46</v>
      </c>
      <c r="M19" s="12">
        <f>YearFracStr(H17,H20,L19)</f>
        <v>0.15342465753424658</v>
      </c>
      <c r="N19" s="12">
        <f ca="1">EXP(-(K19/10000)*M19)</f>
        <v>0.99437364471038314</v>
      </c>
    </row>
    <row r="20" spans="1:14" ht="15">
      <c r="A20" s="52"/>
      <c r="B20" s="14" t="s">
        <v>28</v>
      </c>
      <c r="C20" s="15">
        <f t="shared" si="3"/>
        <v>2</v>
      </c>
      <c r="D20" s="16">
        <f t="shared" si="2"/>
        <v>41372</v>
      </c>
      <c r="E20" s="50">
        <v>366.30165</v>
      </c>
      <c r="F20" s="4"/>
      <c r="G20" s="4" t="s">
        <v>52</v>
      </c>
      <c r="H20" s="18">
        <f>$H$2</f>
        <v>41366</v>
      </c>
      <c r="I20" s="4"/>
      <c r="J20" s="4" t="s">
        <v>56</v>
      </c>
      <c r="K20" s="21">
        <f ca="1">H8</f>
        <v>323.12584589464888</v>
      </c>
      <c r="L20" s="19" t="s">
        <v>46</v>
      </c>
      <c r="M20" s="12">
        <f>YearFracStr(H5,H6,L20)</f>
        <v>0.24931506849315069</v>
      </c>
      <c r="N20" s="12">
        <f ca="1">EXP(-(K20/10000)*M20)</f>
        <v>0.99197634847945115</v>
      </c>
    </row>
    <row r="21" spans="1:14" ht="15.75" thickBot="1">
      <c r="A21" s="52"/>
      <c r="B21" s="14" t="s">
        <v>29</v>
      </c>
      <c r="C21" s="15">
        <f t="shared" si="3"/>
        <v>3</v>
      </c>
      <c r="D21" s="16">
        <f t="shared" si="2"/>
        <v>41401</v>
      </c>
      <c r="E21" s="50">
        <v>362.68097999999998</v>
      </c>
      <c r="F21" s="4"/>
      <c r="I21" s="4"/>
      <c r="J21" s="4"/>
      <c r="K21" s="4"/>
      <c r="M21" s="2"/>
      <c r="N21" s="4"/>
    </row>
    <row r="22" spans="1:14" ht="15.75" thickBot="1">
      <c r="A22" s="52"/>
      <c r="B22" s="14" t="s">
        <v>30</v>
      </c>
      <c r="C22" s="15">
        <f t="shared" si="3"/>
        <v>4</v>
      </c>
      <c r="D22" s="16">
        <f t="shared" si="2"/>
        <v>41493</v>
      </c>
      <c r="E22" s="50">
        <v>347.32421499999998</v>
      </c>
      <c r="F22" s="4"/>
      <c r="G22" s="28" t="s">
        <v>48</v>
      </c>
      <c r="H22" s="34">
        <f ca="1">H24 + YearFracStr(G24,H20,L18)/YearFracStr(G24,G25,L18)*(H25-H24)</f>
        <v>367.75332843749999</v>
      </c>
      <c r="I22" s="13"/>
      <c r="J22" s="4"/>
      <c r="K22" s="4"/>
      <c r="L22" s="4"/>
      <c r="M22" s="2"/>
      <c r="N22" s="4"/>
    </row>
    <row r="23" spans="1:14" ht="15" customHeight="1" thickBot="1">
      <c r="A23" s="52"/>
      <c r="B23" s="14" t="s">
        <v>31</v>
      </c>
      <c r="C23" s="15">
        <f t="shared" si="3"/>
        <v>5</v>
      </c>
      <c r="D23" s="16">
        <f t="shared" si="2"/>
        <v>41585</v>
      </c>
      <c r="E23" s="50">
        <v>332.34462499999995</v>
      </c>
      <c r="F23" s="4"/>
      <c r="G23" s="29" t="s">
        <v>49</v>
      </c>
      <c r="H23" s="30" t="s">
        <v>50</v>
      </c>
      <c r="I23" s="4"/>
      <c r="J23" s="44"/>
      <c r="K23" s="45" t="s">
        <v>55</v>
      </c>
      <c r="L23" s="48">
        <f ca="1">(EXP(0.0001*(H8-M2)*YearFracStr(H5,H6,L18)) -1)*N20*J2*N19</f>
        <v>284.44105901793017</v>
      </c>
      <c r="M23" s="2"/>
      <c r="N23" s="4"/>
    </row>
    <row r="24" spans="1:14" ht="15">
      <c r="A24" s="52"/>
      <c r="B24" s="14" t="s">
        <v>32</v>
      </c>
      <c r="C24" s="15">
        <f t="shared" si="3"/>
        <v>6</v>
      </c>
      <c r="D24" s="16">
        <f t="shared" si="2"/>
        <v>41677</v>
      </c>
      <c r="E24" s="50">
        <v>324.861245</v>
      </c>
      <c r="F24" s="4"/>
      <c r="G24" s="24">
        <f>LOOKUP(H20,D18:D31)</f>
        <v>41340</v>
      </c>
      <c r="H24" s="25">
        <f>VLOOKUP(G24,D18:E31,2,FALSE)</f>
        <v>374.04393500000003</v>
      </c>
      <c r="I24" s="4"/>
      <c r="J24" s="4"/>
      <c r="K24" s="4"/>
      <c r="L24" s="4"/>
      <c r="M24" s="2"/>
      <c r="N24" s="4"/>
    </row>
    <row r="25" spans="1:14" ht="15.75" thickBot="1">
      <c r="A25" s="52"/>
      <c r="B25" s="14" t="s">
        <v>33</v>
      </c>
      <c r="C25" s="15">
        <f t="shared" si="3"/>
        <v>7</v>
      </c>
      <c r="D25" s="16">
        <f t="shared" si="2"/>
        <v>42044</v>
      </c>
      <c r="E25" s="50">
        <v>321.11622499999999</v>
      </c>
      <c r="F25" s="4"/>
      <c r="G25" s="26">
        <f ca="1">OFFSET(D18,MATCH(G24,D18:D31,),0)</f>
        <v>41372</v>
      </c>
      <c r="H25" s="27">
        <f ca="1">VLOOKUP(G25,D18:E31,2,FALSE)</f>
        <v>366.30165</v>
      </c>
      <c r="I25" s="22"/>
      <c r="J25" s="4"/>
      <c r="K25" s="4"/>
      <c r="L25" s="4"/>
      <c r="M25" s="2"/>
      <c r="N25" s="4"/>
    </row>
    <row r="26" spans="1:14" ht="15">
      <c r="A26" s="52"/>
      <c r="B26" s="14" t="s">
        <v>34</v>
      </c>
      <c r="C26" s="15">
        <f t="shared" si="3"/>
        <v>8</v>
      </c>
      <c r="D26" s="16">
        <f t="shared" si="2"/>
        <v>42408</v>
      </c>
      <c r="E26" s="50">
        <v>325.35897</v>
      </c>
      <c r="F26" s="2"/>
      <c r="H26" s="2"/>
      <c r="I26" s="2"/>
      <c r="J26" s="2"/>
      <c r="K26" s="2"/>
      <c r="L26" s="2"/>
      <c r="M26" s="2"/>
      <c r="N26" s="3"/>
    </row>
    <row r="27" spans="1:14" ht="15">
      <c r="A27" s="52"/>
      <c r="B27" s="14" t="s">
        <v>35</v>
      </c>
      <c r="C27" s="15">
        <f t="shared" si="3"/>
        <v>9</v>
      </c>
      <c r="D27" s="16">
        <f t="shared" si="2"/>
        <v>42773</v>
      </c>
      <c r="E27" s="50">
        <v>341.20114999999998</v>
      </c>
      <c r="F27" s="2"/>
      <c r="G27" s="3"/>
      <c r="H27" s="23"/>
      <c r="I27" s="2"/>
      <c r="J27" s="2"/>
      <c r="K27" s="2"/>
      <c r="L27" s="2"/>
      <c r="M27" s="2"/>
      <c r="N27" s="3"/>
    </row>
    <row r="28" spans="1:14" ht="15">
      <c r="A28" s="52"/>
      <c r="B28" s="14" t="s">
        <v>36</v>
      </c>
      <c r="C28" s="15">
        <f t="shared" si="3"/>
        <v>10</v>
      </c>
      <c r="D28" s="16">
        <f t="shared" si="2"/>
        <v>43138</v>
      </c>
      <c r="E28" s="50">
        <v>349.60879</v>
      </c>
      <c r="F28" s="2"/>
      <c r="G28" s="5"/>
      <c r="H28" s="23"/>
      <c r="I28" s="2"/>
      <c r="J28" s="2"/>
      <c r="K28" s="2"/>
      <c r="L28" s="2"/>
      <c r="M28" s="2"/>
      <c r="N28" s="3"/>
    </row>
    <row r="29" spans="1:14" ht="15">
      <c r="A29" s="52"/>
      <c r="B29" s="14" t="s">
        <v>37</v>
      </c>
      <c r="C29" s="15">
        <f t="shared" si="3"/>
        <v>11</v>
      </c>
      <c r="D29" s="16">
        <f t="shared" si="2"/>
        <v>43868</v>
      </c>
      <c r="E29" s="50">
        <v>364.32606999999996</v>
      </c>
      <c r="F29" s="2"/>
      <c r="G29" s="51"/>
      <c r="H29" s="23"/>
      <c r="I29" s="2"/>
      <c r="J29" s="2"/>
      <c r="K29" s="2"/>
      <c r="L29" s="2"/>
      <c r="M29" s="2"/>
      <c r="N29" s="3"/>
    </row>
    <row r="30" spans="1:14" ht="15">
      <c r="A30" s="52"/>
      <c r="B30" s="14" t="s">
        <v>38</v>
      </c>
      <c r="C30" s="15">
        <f t="shared" si="3"/>
        <v>12</v>
      </c>
      <c r="D30" s="16">
        <f t="shared" si="2"/>
        <v>44964</v>
      </c>
      <c r="E30" s="50">
        <v>396.601045</v>
      </c>
      <c r="F30" s="2"/>
      <c r="G30" s="2"/>
      <c r="H30" s="2"/>
      <c r="I30" s="2"/>
      <c r="J30" s="2"/>
      <c r="K30" s="2"/>
      <c r="L30" s="2"/>
      <c r="M30" s="2"/>
      <c r="N30" s="3"/>
    </row>
    <row r="31" spans="1:14" ht="15">
      <c r="A31" s="52"/>
      <c r="B31" s="14" t="s">
        <v>39</v>
      </c>
      <c r="C31" s="15">
        <f t="shared" si="3"/>
        <v>13</v>
      </c>
      <c r="D31" s="16">
        <f t="shared" si="2"/>
        <v>48617</v>
      </c>
      <c r="E31" s="50">
        <v>428.73225500000001</v>
      </c>
      <c r="F31" s="2"/>
      <c r="G31" s="2"/>
      <c r="H31" s="2"/>
      <c r="I31" s="2"/>
      <c r="J31" s="2"/>
      <c r="K31" s="2"/>
      <c r="L31" s="2"/>
      <c r="M31" s="2"/>
      <c r="N31" s="3"/>
    </row>
    <row r="32" spans="1:14" ht="14.2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</row>
  </sheetData>
  <mergeCells count="2">
    <mergeCell ref="A2:A15"/>
    <mergeCell ref="A18:A31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B2"/>
  <sheetViews>
    <sheetView tabSelected="1" workbookViewId="0">
      <selection activeCell="I21" sqref="I21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2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C307774</cp:lastModifiedBy>
  <dcterms:created xsi:type="dcterms:W3CDTF">2014-06-23T08:25:33Z</dcterms:created>
  <dcterms:modified xsi:type="dcterms:W3CDTF">2014-08-26T15:03:26Z</dcterms:modified>
</cp:coreProperties>
</file>