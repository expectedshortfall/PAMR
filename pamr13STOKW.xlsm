
<file path=[Content_Types].xml><?xml version="1.0" encoding="utf-8"?>
<Types xmlns="http://schemas.openxmlformats.org/package/2006/content-types">
  <Default Extension="bin" ContentType="application/vnd.ms-office.activeX"/>
  <Override PartName="/xl/theme/theme1.xml" ContentType="application/vnd.openxmlformats-officedocument.theme+xml"/>
  <Override PartName="/xl/styles.xml" ContentType="application/vnd.openxmlformats-officedocument.spreadsheetml.styles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 defaultThemeVersion="124226"/>
  <bookViews>
    <workbookView xWindow="480" yWindow="135" windowWidth="13260" windowHeight="6420"/>
  </bookViews>
  <sheets>
    <sheet name="RAPORT" sheetId="6" r:id="rId1"/>
    <sheet name="StressTest" sheetId="7" r:id="rId2"/>
    <sheet name="Mapowanie" sheetId="8" r:id="rId3"/>
  </sheets>
  <functionGroups/>
  <definedNames>
    <definedName name="dataLoadingTime">RAPORT!$D$24</definedName>
    <definedName name="elapsedTime">RAPORT!$D$25</definedName>
    <definedName name="inputAreaStart">RAPORT!$B$6</definedName>
    <definedName name="outputArea">RAPORT!$H$6:$H$16</definedName>
    <definedName name="outputAreaStart">RAPORT!$H$6</definedName>
    <definedName name="sensivityArea">StressTest!$C$15:$BH$15</definedName>
    <definedName name="sensivityAreaStart">StressTest!$C$15</definedName>
    <definedName name="stressTestOutput">StressTest!$B$28</definedName>
    <definedName name="valuationDate">RAPORT!$D$2</definedName>
  </definedNames>
  <calcPr calcId="125725"/>
</workbook>
</file>

<file path=xl/calcChain.xml><?xml version="1.0" encoding="utf-8"?>
<calcChain xmlns="http://schemas.openxmlformats.org/spreadsheetml/2006/main">
  <c r="J6" i="6"/>
  <c r="J16"/>
  <c r="J15"/>
  <c r="J14"/>
  <c r="J13"/>
  <c r="J12"/>
  <c r="J11"/>
  <c r="J10"/>
  <c r="J9"/>
  <c r="J8"/>
  <c r="J7"/>
  <c r="L16"/>
  <c r="L15"/>
  <c r="L14"/>
  <c r="L13"/>
  <c r="L12"/>
  <c r="L11"/>
  <c r="L10"/>
  <c r="L9"/>
  <c r="L8"/>
  <c r="L7"/>
  <c r="L6"/>
  <c r="K6"/>
  <c r="K16"/>
  <c r="K15"/>
  <c r="K14"/>
  <c r="K13"/>
  <c r="K12"/>
  <c r="K11"/>
  <c r="K10"/>
  <c r="K9"/>
  <c r="K8"/>
  <c r="K7"/>
  <c r="G24" l="1"/>
  <c r="G23"/>
  <c r="G25"/>
  <c r="BH26" i="7"/>
  <c r="BG26"/>
  <c r="BF26"/>
  <c r="BE26"/>
  <c r="BD26"/>
  <c r="BC26"/>
  <c r="BB26"/>
  <c r="BA26"/>
  <c r="AZ26"/>
  <c r="AY26"/>
  <c r="AX26"/>
  <c r="AW26"/>
  <c r="AV26"/>
  <c r="AU26"/>
  <c r="AT26"/>
  <c r="AS26"/>
  <c r="AR26"/>
  <c r="AQ26"/>
  <c r="AP26"/>
  <c r="AO26"/>
  <c r="AN26"/>
  <c r="AM26"/>
  <c r="AL26"/>
  <c r="AK26"/>
  <c r="AJ26"/>
  <c r="AI26"/>
  <c r="AH26"/>
  <c r="AG26"/>
  <c r="AF26"/>
  <c r="AE26"/>
  <c r="AD26"/>
  <c r="AC26"/>
  <c r="AB26"/>
  <c r="AA26"/>
  <c r="Z26"/>
  <c r="Y26"/>
  <c r="X26"/>
  <c r="W26"/>
  <c r="V26"/>
  <c r="U26"/>
  <c r="T26"/>
  <c r="S26"/>
  <c r="R26"/>
  <c r="Q26"/>
  <c r="P26"/>
  <c r="O26"/>
  <c r="N26"/>
  <c r="M26"/>
  <c r="L26"/>
  <c r="K26"/>
  <c r="J26"/>
  <c r="I26"/>
  <c r="H26"/>
  <c r="G26"/>
  <c r="F26"/>
  <c r="E26"/>
  <c r="D26"/>
  <c r="C26"/>
  <c r="A26"/>
  <c r="BH25"/>
  <c r="BG25"/>
  <c r="BF25"/>
  <c r="BE25"/>
  <c r="BD25"/>
  <c r="BC25"/>
  <c r="BB25"/>
  <c r="BA25"/>
  <c r="AZ25"/>
  <c r="AY25"/>
  <c r="AX25"/>
  <c r="AW25"/>
  <c r="AV25"/>
  <c r="AU25"/>
  <c r="AT25"/>
  <c r="AS25"/>
  <c r="AR25"/>
  <c r="AQ25"/>
  <c r="AP25"/>
  <c r="AO25"/>
  <c r="AN25"/>
  <c r="AM25"/>
  <c r="AL25"/>
  <c r="AK25"/>
  <c r="AJ25"/>
  <c r="AI25"/>
  <c r="AH25"/>
  <c r="AG25"/>
  <c r="AF25"/>
  <c r="AE25"/>
  <c r="AD25"/>
  <c r="AC25"/>
  <c r="AB25"/>
  <c r="AA25"/>
  <c r="Z25"/>
  <c r="Y25"/>
  <c r="X25"/>
  <c r="W25"/>
  <c r="V25"/>
  <c r="U25"/>
  <c r="T25"/>
  <c r="S25"/>
  <c r="R25"/>
  <c r="Q25"/>
  <c r="P25"/>
  <c r="O25"/>
  <c r="N25"/>
  <c r="M25"/>
  <c r="L25"/>
  <c r="K25"/>
  <c r="J25"/>
  <c r="I25"/>
  <c r="H25"/>
  <c r="G25"/>
  <c r="F25"/>
  <c r="E25"/>
  <c r="D25"/>
  <c r="C25"/>
  <c r="A25"/>
  <c r="BH24"/>
  <c r="BG24"/>
  <c r="BF24"/>
  <c r="BE24"/>
  <c r="BD24"/>
  <c r="BC24"/>
  <c r="BB24"/>
  <c r="BA24"/>
  <c r="AZ24"/>
  <c r="AY24"/>
  <c r="AX24"/>
  <c r="AW24"/>
  <c r="AV24"/>
  <c r="AU24"/>
  <c r="AT24"/>
  <c r="AS24"/>
  <c r="AR24"/>
  <c r="AQ24"/>
  <c r="AP24"/>
  <c r="AO24"/>
  <c r="AN24"/>
  <c r="AM24"/>
  <c r="AL24"/>
  <c r="AK24"/>
  <c r="AJ24"/>
  <c r="AI24"/>
  <c r="AH24"/>
  <c r="AG24"/>
  <c r="AF24"/>
  <c r="AE24"/>
  <c r="AD24"/>
  <c r="AC24"/>
  <c r="AB24"/>
  <c r="AA24"/>
  <c r="Z24"/>
  <c r="Y24"/>
  <c r="X24"/>
  <c r="W24"/>
  <c r="V24"/>
  <c r="U24"/>
  <c r="T24"/>
  <c r="S24"/>
  <c r="R24"/>
  <c r="Q24"/>
  <c r="P24"/>
  <c r="O24"/>
  <c r="N24"/>
  <c r="M24"/>
  <c r="L24"/>
  <c r="K24"/>
  <c r="J24"/>
  <c r="I24"/>
  <c r="H24"/>
  <c r="G24"/>
  <c r="F24"/>
  <c r="E24"/>
  <c r="D24"/>
  <c r="C24"/>
  <c r="A24"/>
  <c r="BH23"/>
  <c r="BG23"/>
  <c r="BF23"/>
  <c r="BE23"/>
  <c r="BD23"/>
  <c r="BC23"/>
  <c r="BB23"/>
  <c r="BA23"/>
  <c r="AZ23"/>
  <c r="AY23"/>
  <c r="AX23"/>
  <c r="AW23"/>
  <c r="AV23"/>
  <c r="AU23"/>
  <c r="AT23"/>
  <c r="AS23"/>
  <c r="AR23"/>
  <c r="AQ23"/>
  <c r="AP23"/>
  <c r="AO23"/>
  <c r="AN23"/>
  <c r="AM23"/>
  <c r="AL23"/>
  <c r="AK23"/>
  <c r="AJ23"/>
  <c r="AI23"/>
  <c r="AH23"/>
  <c r="AG23"/>
  <c r="AF23"/>
  <c r="AE23"/>
  <c r="AD23"/>
  <c r="AC23"/>
  <c r="AB23"/>
  <c r="AA23"/>
  <c r="Z23"/>
  <c r="Y23"/>
  <c r="X23"/>
  <c r="W23"/>
  <c r="V23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C23"/>
  <c r="A23"/>
  <c r="BH22"/>
  <c r="BG22"/>
  <c r="BF22"/>
  <c r="BE22"/>
  <c r="BD22"/>
  <c r="BC22"/>
  <c r="BB22"/>
  <c r="BA22"/>
  <c r="AZ22"/>
  <c r="AY22"/>
  <c r="AX22"/>
  <c r="AW22"/>
  <c r="AV22"/>
  <c r="AU22"/>
  <c r="AT22"/>
  <c r="AS22"/>
  <c r="AR22"/>
  <c r="AQ22"/>
  <c r="AP22"/>
  <c r="AO22"/>
  <c r="AN22"/>
  <c r="AM22"/>
  <c r="AL22"/>
  <c r="AK22"/>
  <c r="AJ22"/>
  <c r="AI22"/>
  <c r="AH22"/>
  <c r="AG22"/>
  <c r="AF22"/>
  <c r="AE22"/>
  <c r="AD22"/>
  <c r="AC22"/>
  <c r="AB22"/>
  <c r="AA22"/>
  <c r="Z22"/>
  <c r="Y22"/>
  <c r="X22"/>
  <c r="W22"/>
  <c r="V22"/>
  <c r="U22"/>
  <c r="T22"/>
  <c r="S22"/>
  <c r="R22"/>
  <c r="Q22"/>
  <c r="P22"/>
  <c r="O22"/>
  <c r="N22"/>
  <c r="M22"/>
  <c r="L22"/>
  <c r="K22"/>
  <c r="J22"/>
  <c r="I22"/>
  <c r="H22"/>
  <c r="G22"/>
  <c r="F22"/>
  <c r="E22"/>
  <c r="D22"/>
  <c r="C22"/>
  <c r="A22"/>
  <c r="BH21"/>
  <c r="BG21"/>
  <c r="BF21"/>
  <c r="BE21"/>
  <c r="BD21"/>
  <c r="BC21"/>
  <c r="BB21"/>
  <c r="BA21"/>
  <c r="AZ21"/>
  <c r="AY21"/>
  <c r="AX21"/>
  <c r="AW21"/>
  <c r="AV21"/>
  <c r="AU21"/>
  <c r="AT21"/>
  <c r="AS21"/>
  <c r="AR21"/>
  <c r="AQ21"/>
  <c r="AP21"/>
  <c r="AO21"/>
  <c r="AN21"/>
  <c r="AM21"/>
  <c r="AL21"/>
  <c r="AK21"/>
  <c r="AJ21"/>
  <c r="AI21"/>
  <c r="AH21"/>
  <c r="AG21"/>
  <c r="AF21"/>
  <c r="AE21"/>
  <c r="AD21"/>
  <c r="AC21"/>
  <c r="AB21"/>
  <c r="AA21"/>
  <c r="Z21"/>
  <c r="Y21"/>
  <c r="X21"/>
  <c r="W21"/>
  <c r="V21"/>
  <c r="U21"/>
  <c r="T21"/>
  <c r="S21"/>
  <c r="R21"/>
  <c r="Q21"/>
  <c r="P21"/>
  <c r="O21"/>
  <c r="N21"/>
  <c r="M21"/>
  <c r="L21"/>
  <c r="K21"/>
  <c r="J21"/>
  <c r="I21"/>
  <c r="H21"/>
  <c r="G21"/>
  <c r="F21"/>
  <c r="E21"/>
  <c r="D21"/>
  <c r="C21"/>
  <c r="A21"/>
  <c r="BH20"/>
  <c r="BG20"/>
  <c r="BF20"/>
  <c r="BE20"/>
  <c r="BD20"/>
  <c r="BC20"/>
  <c r="BB20"/>
  <c r="BA20"/>
  <c r="AZ20"/>
  <c r="AY20"/>
  <c r="AX20"/>
  <c r="AW20"/>
  <c r="AV20"/>
  <c r="AU20"/>
  <c r="AT20"/>
  <c r="AS20"/>
  <c r="AR20"/>
  <c r="AQ20"/>
  <c r="AP20"/>
  <c r="AO20"/>
  <c r="AN20"/>
  <c r="AM20"/>
  <c r="AL20"/>
  <c r="AK20"/>
  <c r="AJ20"/>
  <c r="AI20"/>
  <c r="AH20"/>
  <c r="AG20"/>
  <c r="AF20"/>
  <c r="AE20"/>
  <c r="AD20"/>
  <c r="AC20"/>
  <c r="AB20"/>
  <c r="AA20"/>
  <c r="Z20"/>
  <c r="Y20"/>
  <c r="X20"/>
  <c r="W20"/>
  <c r="V20"/>
  <c r="U20"/>
  <c r="T20"/>
  <c r="S20"/>
  <c r="R20"/>
  <c r="Q20"/>
  <c r="P20"/>
  <c r="O20"/>
  <c r="N20"/>
  <c r="M20"/>
  <c r="L20"/>
  <c r="K20"/>
  <c r="J20"/>
  <c r="I20"/>
  <c r="H20"/>
  <c r="G20"/>
  <c r="F20"/>
  <c r="E20"/>
  <c r="D20"/>
  <c r="C20"/>
  <c r="A20"/>
  <c r="BH19"/>
  <c r="BG19"/>
  <c r="BF19"/>
  <c r="BE19"/>
  <c r="BD19"/>
  <c r="BC19"/>
  <c r="BB19"/>
  <c r="BA19"/>
  <c r="AZ19"/>
  <c r="AY19"/>
  <c r="AX19"/>
  <c r="AW19"/>
  <c r="AV19"/>
  <c r="AU19"/>
  <c r="AT19"/>
  <c r="AS19"/>
  <c r="AR19"/>
  <c r="AQ19"/>
  <c r="AP19"/>
  <c r="AO19"/>
  <c r="AN19"/>
  <c r="AM19"/>
  <c r="AL19"/>
  <c r="AK19"/>
  <c r="AJ19"/>
  <c r="AI19"/>
  <c r="AH19"/>
  <c r="AG19"/>
  <c r="AF19"/>
  <c r="AE19"/>
  <c r="AD19"/>
  <c r="AC19"/>
  <c r="AB19"/>
  <c r="AA19"/>
  <c r="Z19"/>
  <c r="Y19"/>
  <c r="X19"/>
  <c r="W19"/>
  <c r="V19"/>
  <c r="U19"/>
  <c r="T19"/>
  <c r="S19"/>
  <c r="R19"/>
  <c r="Q19"/>
  <c r="P19"/>
  <c r="O19"/>
  <c r="N19"/>
  <c r="M19"/>
  <c r="L19"/>
  <c r="K19"/>
  <c r="J19"/>
  <c r="I19"/>
  <c r="H19"/>
  <c r="G19"/>
  <c r="F19"/>
  <c r="E19"/>
  <c r="D19"/>
  <c r="C19"/>
  <c r="A19"/>
  <c r="BH18"/>
  <c r="BG18"/>
  <c r="BF18"/>
  <c r="BE18"/>
  <c r="BD18"/>
  <c r="BC18"/>
  <c r="BB18"/>
  <c r="BA18"/>
  <c r="AZ18"/>
  <c r="AY18"/>
  <c r="AX18"/>
  <c r="AW18"/>
  <c r="AV18"/>
  <c r="AU18"/>
  <c r="AT18"/>
  <c r="AS18"/>
  <c r="AR18"/>
  <c r="AQ18"/>
  <c r="AP18"/>
  <c r="AO18"/>
  <c r="AN18"/>
  <c r="AM18"/>
  <c r="AL18"/>
  <c r="AK18"/>
  <c r="AJ18"/>
  <c r="AI18"/>
  <c r="AH18"/>
  <c r="AG18"/>
  <c r="AF18"/>
  <c r="AE18"/>
  <c r="AD18"/>
  <c r="AC18"/>
  <c r="AB18"/>
  <c r="AA18"/>
  <c r="Z18"/>
  <c r="Y18"/>
  <c r="X18"/>
  <c r="W18"/>
  <c r="V18"/>
  <c r="U18"/>
  <c r="T18"/>
  <c r="S18"/>
  <c r="R18"/>
  <c r="Q18"/>
  <c r="P18"/>
  <c r="O18"/>
  <c r="N18"/>
  <c r="M18"/>
  <c r="L18"/>
  <c r="K18"/>
  <c r="J18"/>
  <c r="I18"/>
  <c r="H18"/>
  <c r="G18"/>
  <c r="F18"/>
  <c r="E18"/>
  <c r="D18"/>
  <c r="C18"/>
  <c r="A18"/>
  <c r="A17"/>
  <c r="BH17"/>
  <c r="BG17"/>
  <c r="BF17"/>
  <c r="BE17"/>
  <c r="BD17"/>
  <c r="BC17"/>
  <c r="BB17"/>
  <c r="BA17"/>
  <c r="AZ17"/>
  <c r="AY17"/>
  <c r="AX17"/>
  <c r="AW17"/>
  <c r="AV17"/>
  <c r="AU17"/>
  <c r="AT17"/>
  <c r="AS17"/>
  <c r="AR17"/>
  <c r="AQ17"/>
  <c r="AP17"/>
  <c r="AO17"/>
  <c r="AN17"/>
  <c r="AM17"/>
  <c r="AL17"/>
  <c r="AK17"/>
  <c r="AJ17"/>
  <c r="AI17"/>
  <c r="AH17"/>
  <c r="AG17"/>
  <c r="AF17"/>
  <c r="AE17"/>
  <c r="AD17"/>
  <c r="AC17"/>
  <c r="AB17"/>
  <c r="AA17"/>
  <c r="Z17"/>
  <c r="Y17"/>
  <c r="X17"/>
  <c r="W17"/>
  <c r="V17"/>
  <c r="U17"/>
  <c r="T17"/>
  <c r="S17"/>
  <c r="R17"/>
  <c r="Q17"/>
  <c r="P17"/>
  <c r="O17"/>
  <c r="N17"/>
  <c r="M17"/>
  <c r="L17"/>
  <c r="K17"/>
  <c r="J17"/>
  <c r="I17"/>
  <c r="H17"/>
  <c r="G17"/>
  <c r="F17"/>
  <c r="E17"/>
  <c r="D17"/>
  <c r="C17"/>
  <c r="B22" l="1"/>
  <c r="B24"/>
  <c r="B21"/>
  <c r="B20"/>
  <c r="B25"/>
  <c r="B18"/>
  <c r="B26"/>
  <c r="B19"/>
  <c r="B23"/>
  <c r="B17"/>
  <c r="B28" l="1"/>
</calcChain>
</file>

<file path=xl/comments1.xml><?xml version="1.0" encoding="utf-8"?>
<comments xmlns="http://schemas.openxmlformats.org/spreadsheetml/2006/main">
  <authors>
    <author>user</author>
  </authors>
  <commentList>
    <comment ref="D2" authorId="0">
      <text>
        <r>
          <rPr>
            <b/>
            <sz val="9"/>
            <color indexed="81"/>
            <rFont val="Tahoma"/>
            <family val="2"/>
            <charset val="238"/>
          </rPr>
          <t>user:</t>
        </r>
        <r>
          <rPr>
            <sz val="9"/>
            <color indexed="81"/>
            <rFont val="Tahoma"/>
            <family val="2"/>
            <charset val="238"/>
          </rPr>
          <t xml:space="preserve">
From: 2009-08-18
To: 2013-06-28
</t>
        </r>
      </text>
    </comment>
  </commentList>
</comments>
</file>

<file path=xl/sharedStrings.xml><?xml version="1.0" encoding="utf-8"?>
<sst xmlns="http://schemas.openxmlformats.org/spreadsheetml/2006/main" count="142" uniqueCount="67">
  <si>
    <t>PLN</t>
  </si>
  <si>
    <t>BPV</t>
  </si>
  <si>
    <t>Name</t>
  </si>
  <si>
    <t>Comment</t>
  </si>
  <si>
    <t>Total BPV</t>
  </si>
  <si>
    <t>StressTest</t>
  </si>
  <si>
    <t>Most harmfull stress test</t>
  </si>
  <si>
    <t>VaR</t>
  </si>
  <si>
    <t>Historical, 99%, 1 day</t>
  </si>
  <si>
    <t>ES</t>
  </si>
  <si>
    <t>Historical, 99%</t>
  </si>
  <si>
    <t>Total BPV for cashflows/instruments in PLN</t>
  </si>
  <si>
    <t>Total BPV for cashflows/instruments in EUR</t>
  </si>
  <si>
    <t>Rotation</t>
  </si>
  <si>
    <t>Total</t>
  </si>
  <si>
    <t>Total rotation for cashflows/instruments in PLN</t>
  </si>
  <si>
    <t>Total rotation for cashflows/instruments in EUR</t>
  </si>
  <si>
    <t>Reporting
 Currency</t>
  </si>
  <si>
    <t>Yellow
Zone</t>
  </si>
  <si>
    <t>Minor
Excess</t>
  </si>
  <si>
    <t>Accual
Value</t>
  </si>
  <si>
    <t>Limit
Value</t>
  </si>
  <si>
    <t>PLN_GOVT</t>
  </si>
  <si>
    <t>PLN_SWAP</t>
  </si>
  <si>
    <t>EUR</t>
  </si>
  <si>
    <t>USD</t>
  </si>
  <si>
    <t>No.</t>
  </si>
  <si>
    <t>EURPLN</t>
  </si>
  <si>
    <t>USDPLN</t>
  </si>
  <si>
    <t>SN</t>
  </si>
  <si>
    <t>1M</t>
  </si>
  <si>
    <t>2M</t>
  </si>
  <si>
    <t>3M</t>
  </si>
  <si>
    <t>6M</t>
  </si>
  <si>
    <t>9M</t>
  </si>
  <si>
    <t>1Y</t>
  </si>
  <si>
    <t>2Y</t>
  </si>
  <si>
    <t>3Y</t>
  </si>
  <si>
    <t>4Y</t>
  </si>
  <si>
    <t>5Y</t>
  </si>
  <si>
    <t>7Y</t>
  </si>
  <si>
    <t>10Y</t>
  </si>
  <si>
    <t>20Y</t>
  </si>
  <si>
    <t>BASEL200UP</t>
  </si>
  <si>
    <t>BASEL200DOWN</t>
  </si>
  <si>
    <t>COMPOSITE1</t>
  </si>
  <si>
    <t>COMPOSITE2</t>
  </si>
  <si>
    <t>BUTTERFLY</t>
  </si>
  <si>
    <t>SPREADWIDENING</t>
  </si>
  <si>
    <t>EUROCRASH</t>
  </si>
  <si>
    <t>USDCRASH</t>
  </si>
  <si>
    <t>PLNCRASH</t>
  </si>
  <si>
    <t>LTCM1998</t>
  </si>
  <si>
    <t>Profil ryzyka portfela w PLNk</t>
  </si>
  <si>
    <t>ST</t>
  </si>
  <si>
    <t xml:space="preserve"> Value Date</t>
  </si>
  <si>
    <t>No. Yellow Zones</t>
  </si>
  <si>
    <t>No. Minor Excesses</t>
  </si>
  <si>
    <t>ALL</t>
  </si>
  <si>
    <t>RISK MEASURE</t>
  </si>
  <si>
    <t>CCY</t>
  </si>
  <si>
    <t>No. Major Excesses</t>
  </si>
  <si>
    <t>`</t>
  </si>
  <si>
    <t>Data Loading Time</t>
  </si>
  <si>
    <t>Calculation Time</t>
  </si>
  <si>
    <t>Time Efficiency Summary</t>
  </si>
  <si>
    <t>PLNX, PLN3, PLN6</t>
  </si>
</sst>
</file>

<file path=xl/styles.xml><?xml version="1.0" encoding="utf-8"?>
<styleSheet xmlns="http://schemas.openxmlformats.org/spreadsheetml/2006/main">
  <numFmts count="3">
    <numFmt numFmtId="43" formatCode="_-* #,##0.00\ _z_ł_-;\-* #,##0.00\ _z_ł_-;_-* &quot;-&quot;??\ _z_ł_-;_-@_-"/>
    <numFmt numFmtId="164" formatCode="_-* #,##0.0\ _z_ł_-;\-* #,##0.0\ _z_ł_-;_-* &quot;-&quot;??\ _z_ł_-;_-@_-"/>
    <numFmt numFmtId="165" formatCode="_-* #,##0\ _z_ł_-;\-* #,##0\ _z_ł_-;_-* &quot;-&quot;??\ _z_ł_-;_-@_-"/>
  </numFmts>
  <fonts count="19">
    <font>
      <sz val="10"/>
      <name val="Arial"/>
      <charset val="238"/>
    </font>
    <font>
      <sz val="11"/>
      <color theme="1"/>
      <name val="Calibri"/>
      <family val="2"/>
      <charset val="238"/>
      <scheme val="minor"/>
    </font>
    <font>
      <sz val="10"/>
      <name val="Arial"/>
      <family val="2"/>
      <charset val="238"/>
    </font>
    <font>
      <sz val="11"/>
      <color indexed="62"/>
      <name val="Czcionka tekstu podstawowego"/>
      <family val="2"/>
      <charset val="238"/>
    </font>
    <font>
      <b/>
      <sz val="11"/>
      <color indexed="63"/>
      <name val="Czcionka tekstu podstawowego"/>
      <family val="2"/>
      <charset val="238"/>
    </font>
    <font>
      <sz val="8"/>
      <name val="Arial"/>
      <family val="2"/>
      <charset val="238"/>
    </font>
    <font>
      <sz val="11"/>
      <color rgb="FF006100"/>
      <name val="Calibri"/>
      <family val="2"/>
      <charset val="238"/>
      <scheme val="minor"/>
    </font>
    <font>
      <sz val="11"/>
      <color rgb="FFFA7D00"/>
      <name val="Calibri"/>
      <family val="2"/>
      <charset val="238"/>
      <scheme val="minor"/>
    </font>
    <font>
      <sz val="11"/>
      <color rgb="FFFF0000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b/>
      <sz val="12"/>
      <color theme="1"/>
      <name val="Calibri"/>
      <family val="2"/>
      <charset val="238"/>
      <scheme val="minor"/>
    </font>
    <font>
      <sz val="12"/>
      <color theme="1"/>
      <name val="Calibri"/>
      <family val="2"/>
      <charset val="238"/>
      <scheme val="minor"/>
    </font>
    <font>
      <b/>
      <sz val="12"/>
      <color theme="0"/>
      <name val="Calibri"/>
      <family val="2"/>
      <charset val="238"/>
      <scheme val="minor"/>
    </font>
    <font>
      <sz val="12"/>
      <color theme="0"/>
      <name val="Calibri"/>
      <family val="2"/>
      <charset val="238"/>
      <scheme val="minor"/>
    </font>
    <font>
      <sz val="10"/>
      <color theme="0"/>
      <name val="Arial"/>
      <family val="2"/>
      <charset val="238"/>
    </font>
    <font>
      <b/>
      <sz val="10"/>
      <color theme="0"/>
      <name val="Arial"/>
      <family val="2"/>
      <charset val="238"/>
    </font>
    <font>
      <sz val="9"/>
      <color indexed="81"/>
      <name val="Tahoma"/>
      <family val="2"/>
      <charset val="238"/>
    </font>
    <font>
      <b/>
      <sz val="9"/>
      <color indexed="81"/>
      <name val="Tahoma"/>
      <family val="2"/>
      <charset val="238"/>
    </font>
    <font>
      <sz val="10"/>
      <color rgb="FF222222"/>
      <name val="Arial"/>
      <family val="2"/>
      <charset val="238"/>
    </font>
  </fonts>
  <fills count="13">
    <fill>
      <patternFill patternType="none"/>
    </fill>
    <fill>
      <patternFill patternType="gray125"/>
    </fill>
    <fill>
      <patternFill patternType="solid">
        <fgColor indexed="47"/>
      </patternFill>
    </fill>
    <fill>
      <patternFill patternType="solid">
        <fgColor indexed="22"/>
      </patternFill>
    </fill>
    <fill>
      <patternFill patternType="solid">
        <fgColor rgb="FFC6EFCE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499984740745262"/>
        <bgColor indexed="64"/>
      </patternFill>
    </fill>
  </fills>
  <borders count="43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8">
    <xf numFmtId="0" fontId="0" fillId="0" borderId="0"/>
    <xf numFmtId="43" fontId="2" fillId="0" borderId="0" applyFont="0" applyFill="0" applyBorder="0" applyAlignment="0" applyProtection="0"/>
    <xf numFmtId="0" fontId="3" fillId="2" borderId="1" applyNumberFormat="0" applyAlignment="0" applyProtection="0"/>
    <xf numFmtId="0" fontId="4" fillId="3" borderId="2" applyNumberFormat="0" applyAlignment="0" applyProtection="0"/>
    <xf numFmtId="0" fontId="6" fillId="4" borderId="0" applyNumberFormat="0" applyBorder="0" applyAlignment="0" applyProtection="0"/>
    <xf numFmtId="0" fontId="7" fillId="0" borderId="11" applyNumberFormat="0" applyFill="0" applyAlignment="0" applyProtection="0"/>
    <xf numFmtId="0" fontId="8" fillId="0" borderId="0" applyNumberFormat="0" applyFill="0" applyBorder="0" applyAlignment="0" applyProtection="0"/>
    <xf numFmtId="0" fontId="9" fillId="0" borderId="12" applyNumberFormat="0" applyFill="0" applyAlignment="0" applyProtection="0"/>
  </cellStyleXfs>
  <cellXfs count="117">
    <xf numFmtId="0" fontId="0" fillId="0" borderId="0" xfId="0"/>
    <xf numFmtId="0" fontId="0" fillId="0" borderId="0" xfId="0" applyBorder="1"/>
    <xf numFmtId="0" fontId="0" fillId="0" borderId="15" xfId="0" applyBorder="1"/>
    <xf numFmtId="0" fontId="0" fillId="0" borderId="17" xfId="0" applyBorder="1"/>
    <xf numFmtId="0" fontId="0" fillId="0" borderId="18" xfId="0" applyBorder="1"/>
    <xf numFmtId="0" fontId="0" fillId="0" borderId="0" xfId="0" applyAlignment="1">
      <alignment horizontal="center"/>
    </xf>
    <xf numFmtId="14" fontId="0" fillId="0" borderId="0" xfId="0" applyNumberFormat="1"/>
    <xf numFmtId="0" fontId="0" fillId="0" borderId="0" xfId="0" applyFill="1"/>
    <xf numFmtId="0" fontId="11" fillId="5" borderId="0" xfId="0" applyFont="1" applyFill="1" applyBorder="1" applyAlignment="1">
      <alignment horizontal="center" vertical="center"/>
    </xf>
    <xf numFmtId="0" fontId="11" fillId="7" borderId="0" xfId="0" applyFont="1" applyFill="1" applyBorder="1" applyAlignment="1">
      <alignment horizontal="center" vertical="center"/>
    </xf>
    <xf numFmtId="0" fontId="13" fillId="9" borderId="0" xfId="0" applyFont="1" applyFill="1" applyBorder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0" fillId="0" borderId="3" xfId="0" applyFill="1" applyBorder="1"/>
    <xf numFmtId="0" fontId="0" fillId="0" borderId="21" xfId="0" applyFill="1" applyBorder="1"/>
    <xf numFmtId="0" fontId="11" fillId="5" borderId="14" xfId="0" applyFont="1" applyFill="1" applyBorder="1" applyAlignment="1">
      <alignment horizontal="center" vertical="center"/>
    </xf>
    <xf numFmtId="0" fontId="11" fillId="5" borderId="15" xfId="0" applyFont="1" applyFill="1" applyBorder="1" applyAlignment="1">
      <alignment horizontal="center" vertical="center"/>
    </xf>
    <xf numFmtId="0" fontId="0" fillId="0" borderId="4" xfId="0" applyFill="1" applyBorder="1"/>
    <xf numFmtId="0" fontId="0" fillId="0" borderId="5" xfId="0" applyFill="1" applyBorder="1"/>
    <xf numFmtId="0" fontId="0" fillId="0" borderId="6" xfId="0" applyFill="1" applyBorder="1"/>
    <xf numFmtId="0" fontId="0" fillId="0" borderId="10" xfId="0" applyFill="1" applyBorder="1"/>
    <xf numFmtId="0" fontId="0" fillId="0" borderId="7" xfId="0" applyFill="1" applyBorder="1"/>
    <xf numFmtId="0" fontId="11" fillId="0" borderId="8" xfId="0" applyFont="1" applyFill="1" applyBorder="1" applyAlignment="1">
      <alignment horizontal="center" vertical="center"/>
    </xf>
    <xf numFmtId="0" fontId="11" fillId="0" borderId="13" xfId="0" applyFont="1" applyFill="1" applyBorder="1" applyAlignment="1">
      <alignment horizontal="center" vertical="center"/>
    </xf>
    <xf numFmtId="0" fontId="11" fillId="0" borderId="9" xfId="0" applyFont="1" applyFill="1" applyBorder="1" applyAlignment="1">
      <alignment horizontal="center" vertical="center"/>
    </xf>
    <xf numFmtId="9" fontId="0" fillId="0" borderId="5" xfId="0" applyNumberFormat="1" applyFill="1" applyBorder="1"/>
    <xf numFmtId="9" fontId="0" fillId="0" borderId="7" xfId="0" applyNumberFormat="1" applyFill="1" applyBorder="1"/>
    <xf numFmtId="0" fontId="11" fillId="7" borderId="14" xfId="0" applyFont="1" applyFill="1" applyBorder="1" applyAlignment="1">
      <alignment horizontal="center" vertical="center"/>
    </xf>
    <xf numFmtId="0" fontId="11" fillId="7" borderId="15" xfId="0" applyFont="1" applyFill="1" applyBorder="1" applyAlignment="1">
      <alignment horizontal="center" vertical="center"/>
    </xf>
    <xf numFmtId="0" fontId="13" fillId="8" borderId="14" xfId="0" applyFont="1" applyFill="1" applyBorder="1" applyAlignment="1">
      <alignment horizontal="center" vertical="center"/>
    </xf>
    <xf numFmtId="0" fontId="13" fillId="8" borderId="15" xfId="0" applyFont="1" applyFill="1" applyBorder="1" applyAlignment="1">
      <alignment horizontal="center" vertical="center"/>
    </xf>
    <xf numFmtId="0" fontId="13" fillId="9" borderId="14" xfId="0" applyFont="1" applyFill="1" applyBorder="1" applyAlignment="1">
      <alignment horizontal="center" vertical="center"/>
    </xf>
    <xf numFmtId="0" fontId="13" fillId="9" borderId="15" xfId="0" applyFont="1" applyFill="1" applyBorder="1" applyAlignment="1">
      <alignment horizontal="center" vertical="center"/>
    </xf>
    <xf numFmtId="0" fontId="0" fillId="0" borderId="22" xfId="0" applyFill="1" applyBorder="1"/>
    <xf numFmtId="9" fontId="0" fillId="0" borderId="4" xfId="0" applyNumberFormat="1" applyFill="1" applyBorder="1"/>
    <xf numFmtId="9" fontId="0" fillId="0" borderId="6" xfId="0" applyNumberFormat="1" applyFill="1" applyBorder="1"/>
    <xf numFmtId="0" fontId="0" fillId="0" borderId="14" xfId="0" applyBorder="1"/>
    <xf numFmtId="0" fontId="0" fillId="0" borderId="16" xfId="0" applyBorder="1"/>
    <xf numFmtId="0" fontId="0" fillId="11" borderId="8" xfId="0" applyFill="1" applyBorder="1"/>
    <xf numFmtId="0" fontId="0" fillId="11" borderId="13" xfId="0" applyFill="1" applyBorder="1"/>
    <xf numFmtId="0" fontId="0" fillId="11" borderId="9" xfId="0" applyFill="1" applyBorder="1"/>
    <xf numFmtId="164" fontId="0" fillId="11" borderId="13" xfId="1" applyNumberFormat="1" applyFont="1" applyFill="1" applyBorder="1"/>
    <xf numFmtId="164" fontId="0" fillId="0" borderId="0" xfId="1" applyNumberFormat="1" applyFont="1" applyBorder="1"/>
    <xf numFmtId="164" fontId="0" fillId="0" borderId="17" xfId="1" applyNumberFormat="1" applyFont="1" applyBorder="1"/>
    <xf numFmtId="0" fontId="0" fillId="11" borderId="14" xfId="0" applyFill="1" applyBorder="1"/>
    <xf numFmtId="164" fontId="0" fillId="11" borderId="0" xfId="1" applyNumberFormat="1" applyFont="1" applyFill="1" applyBorder="1"/>
    <xf numFmtId="0" fontId="0" fillId="11" borderId="0" xfId="0" applyFill="1" applyBorder="1"/>
    <xf numFmtId="0" fontId="0" fillId="11" borderId="15" xfId="0" applyFill="1" applyBorder="1"/>
    <xf numFmtId="0" fontId="0" fillId="11" borderId="4" xfId="0" applyFill="1" applyBorder="1"/>
    <xf numFmtId="0" fontId="0" fillId="11" borderId="21" xfId="0" applyFill="1" applyBorder="1"/>
    <xf numFmtId="0" fontId="0" fillId="11" borderId="5" xfId="0" applyFill="1" applyBorder="1"/>
    <xf numFmtId="9" fontId="0" fillId="11" borderId="4" xfId="0" applyNumberFormat="1" applyFill="1" applyBorder="1"/>
    <xf numFmtId="9" fontId="0" fillId="11" borderId="5" xfId="0" applyNumberFormat="1" applyFill="1" applyBorder="1"/>
    <xf numFmtId="0" fontId="0" fillId="12" borderId="0" xfId="0" applyFill="1"/>
    <xf numFmtId="14" fontId="0" fillId="0" borderId="25" xfId="0" applyNumberFormat="1" applyFill="1" applyBorder="1"/>
    <xf numFmtId="0" fontId="0" fillId="0" borderId="3" xfId="0" applyBorder="1" applyAlignment="1">
      <alignment horizontal="center"/>
    </xf>
    <xf numFmtId="3" fontId="0" fillId="0" borderId="3" xfId="0" applyNumberFormat="1" applyBorder="1"/>
    <xf numFmtId="9" fontId="0" fillId="0" borderId="3" xfId="0" applyNumberFormat="1" applyBorder="1"/>
    <xf numFmtId="0" fontId="0" fillId="0" borderId="4" xfId="0" applyBorder="1"/>
    <xf numFmtId="0" fontId="0" fillId="0" borderId="5" xfId="0" applyBorder="1"/>
    <xf numFmtId="0" fontId="0" fillId="0" borderId="10" xfId="0" applyBorder="1" applyAlignment="1">
      <alignment horizontal="center"/>
    </xf>
    <xf numFmtId="3" fontId="0" fillId="0" borderId="10" xfId="0" applyNumberFormat="1" applyBorder="1"/>
    <xf numFmtId="9" fontId="0" fillId="0" borderId="10" xfId="0" applyNumberFormat="1" applyBorder="1"/>
    <xf numFmtId="0" fontId="0" fillId="0" borderId="7" xfId="0" applyBorder="1"/>
    <xf numFmtId="0" fontId="1" fillId="5" borderId="26" xfId="0" applyFont="1" applyFill="1" applyBorder="1" applyAlignment="1"/>
    <xf numFmtId="0" fontId="1" fillId="5" borderId="6" xfId="0" applyFont="1" applyFill="1" applyBorder="1" applyAlignment="1"/>
    <xf numFmtId="165" fontId="0" fillId="0" borderId="27" xfId="1" applyNumberFormat="1" applyFont="1" applyFill="1" applyBorder="1"/>
    <xf numFmtId="0" fontId="2" fillId="0" borderId="4" xfId="0" applyFont="1" applyBorder="1"/>
    <xf numFmtId="0" fontId="2" fillId="0" borderId="6" xfId="0" applyFont="1" applyBorder="1"/>
    <xf numFmtId="0" fontId="0" fillId="0" borderId="39" xfId="0" applyBorder="1"/>
    <xf numFmtId="0" fontId="11" fillId="5" borderId="32" xfId="0" applyFont="1" applyFill="1" applyBorder="1" applyAlignment="1">
      <alignment horizontal="center"/>
    </xf>
    <xf numFmtId="0" fontId="11" fillId="5" borderId="33" xfId="0" applyFont="1" applyFill="1" applyBorder="1" applyAlignment="1">
      <alignment horizontal="center"/>
    </xf>
    <xf numFmtId="0" fontId="2" fillId="0" borderId="33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"/>
    </xf>
    <xf numFmtId="9" fontId="0" fillId="0" borderId="28" xfId="0" applyNumberFormat="1" applyBorder="1" applyAlignment="1">
      <alignment horizontal="center"/>
    </xf>
    <xf numFmtId="0" fontId="2" fillId="0" borderId="29" xfId="0" applyFont="1" applyBorder="1" applyAlignment="1">
      <alignment horizontal="center"/>
    </xf>
    <xf numFmtId="0" fontId="1" fillId="5" borderId="4" xfId="0" applyFont="1" applyFill="1" applyBorder="1" applyAlignment="1"/>
    <xf numFmtId="165" fontId="0" fillId="0" borderId="5" xfId="1" applyNumberFormat="1" applyFont="1" applyFill="1" applyBorder="1"/>
    <xf numFmtId="165" fontId="0" fillId="0" borderId="7" xfId="1" applyNumberFormat="1" applyFont="1" applyBorder="1"/>
    <xf numFmtId="0" fontId="2" fillId="0" borderId="0" xfId="0" applyFont="1"/>
    <xf numFmtId="0" fontId="2" fillId="6" borderId="42" xfId="0" applyFont="1" applyFill="1" applyBorder="1" applyAlignment="1">
      <alignment vertical="center"/>
    </xf>
    <xf numFmtId="0" fontId="0" fillId="6" borderId="18" xfId="0" applyFill="1" applyBorder="1" applyAlignment="1">
      <alignment vertical="center"/>
    </xf>
    <xf numFmtId="0" fontId="18" fillId="0" borderId="0" xfId="0" applyFont="1"/>
    <xf numFmtId="0" fontId="2" fillId="6" borderId="16" xfId="0" applyFont="1" applyFill="1" applyBorder="1" applyAlignment="1">
      <alignment horizontal="left" vertical="center"/>
    </xf>
    <xf numFmtId="0" fontId="2" fillId="6" borderId="17" xfId="0" applyFont="1" applyFill="1" applyBorder="1" applyAlignment="1">
      <alignment horizontal="left" vertical="center"/>
    </xf>
    <xf numFmtId="0" fontId="10" fillId="5" borderId="19" xfId="0" applyFont="1" applyFill="1" applyBorder="1" applyAlignment="1">
      <alignment horizontal="center"/>
    </xf>
    <xf numFmtId="0" fontId="10" fillId="5" borderId="13" xfId="0" applyFont="1" applyFill="1" applyBorder="1" applyAlignment="1">
      <alignment horizontal="center"/>
    </xf>
    <xf numFmtId="0" fontId="10" fillId="5" borderId="20" xfId="0" applyFont="1" applyFill="1" applyBorder="1" applyAlignment="1">
      <alignment horizontal="center"/>
    </xf>
    <xf numFmtId="0" fontId="10" fillId="5" borderId="30" xfId="0" applyFont="1" applyFill="1" applyBorder="1" applyAlignment="1">
      <alignment horizontal="center"/>
    </xf>
    <xf numFmtId="0" fontId="10" fillId="5" borderId="31" xfId="0" applyFont="1" applyFill="1" applyBorder="1" applyAlignment="1">
      <alignment horizontal="center"/>
    </xf>
    <xf numFmtId="0" fontId="10" fillId="5" borderId="8" xfId="0" applyFont="1" applyFill="1" applyBorder="1" applyAlignment="1">
      <alignment horizontal="center" vertical="center"/>
    </xf>
    <xf numFmtId="0" fontId="10" fillId="5" borderId="38" xfId="0" applyFont="1" applyFill="1" applyBorder="1" applyAlignment="1">
      <alignment horizontal="center" vertical="center"/>
    </xf>
    <xf numFmtId="0" fontId="10" fillId="5" borderId="38" xfId="0" applyFont="1" applyFill="1" applyBorder="1" applyAlignment="1">
      <alignment horizontal="center" vertical="center" wrapText="1"/>
    </xf>
    <xf numFmtId="0" fontId="10" fillId="5" borderId="33" xfId="0" applyFont="1" applyFill="1" applyBorder="1" applyAlignment="1">
      <alignment horizontal="center" vertical="center" wrapText="1"/>
    </xf>
    <xf numFmtId="0" fontId="2" fillId="6" borderId="41" xfId="0" applyFont="1" applyFill="1" applyBorder="1" applyAlignment="1">
      <alignment horizontal="left" vertical="center"/>
    </xf>
    <xf numFmtId="0" fontId="2" fillId="6" borderId="40" xfId="0" applyFont="1" applyFill="1" applyBorder="1" applyAlignment="1">
      <alignment horizontal="left" vertical="center"/>
    </xf>
    <xf numFmtId="0" fontId="10" fillId="5" borderId="36" xfId="0" applyFont="1" applyFill="1" applyBorder="1" applyAlignment="1">
      <alignment horizontal="center" vertical="center" wrapText="1"/>
    </xf>
    <xf numFmtId="0" fontId="10" fillId="5" borderId="34" xfId="0" applyFont="1" applyFill="1" applyBorder="1" applyAlignment="1">
      <alignment horizontal="center" vertical="center" wrapText="1"/>
    </xf>
    <xf numFmtId="0" fontId="10" fillId="5" borderId="37" xfId="0" applyFont="1" applyFill="1" applyBorder="1" applyAlignment="1">
      <alignment horizontal="center" vertical="center"/>
    </xf>
    <xf numFmtId="0" fontId="10" fillId="5" borderId="35" xfId="0" applyFont="1" applyFill="1" applyBorder="1" applyAlignment="1">
      <alignment horizontal="center" vertical="center"/>
    </xf>
    <xf numFmtId="0" fontId="15" fillId="10" borderId="15" xfId="0" applyFont="1" applyFill="1" applyBorder="1" applyAlignment="1">
      <alignment horizontal="center" vertical="center"/>
    </xf>
    <xf numFmtId="0" fontId="10" fillId="5" borderId="13" xfId="0" applyFont="1" applyFill="1" applyBorder="1" applyAlignment="1">
      <alignment horizontal="center" vertical="center"/>
    </xf>
    <xf numFmtId="0" fontId="10" fillId="5" borderId="9" xfId="0" applyFont="1" applyFill="1" applyBorder="1" applyAlignment="1">
      <alignment horizontal="center" vertical="center"/>
    </xf>
    <xf numFmtId="0" fontId="10" fillId="7" borderId="8" xfId="0" applyFont="1" applyFill="1" applyBorder="1" applyAlignment="1">
      <alignment horizontal="center" vertical="center"/>
    </xf>
    <xf numFmtId="0" fontId="10" fillId="7" borderId="13" xfId="0" applyFont="1" applyFill="1" applyBorder="1" applyAlignment="1">
      <alignment horizontal="center" vertical="center"/>
    </xf>
    <xf numFmtId="0" fontId="10" fillId="7" borderId="9" xfId="0" applyFont="1" applyFill="1" applyBorder="1" applyAlignment="1">
      <alignment horizontal="center" vertical="center"/>
    </xf>
    <xf numFmtId="0" fontId="12" fillId="8" borderId="8" xfId="0" applyFont="1" applyFill="1" applyBorder="1" applyAlignment="1">
      <alignment horizontal="center" vertical="center"/>
    </xf>
    <xf numFmtId="0" fontId="12" fillId="8" borderId="13" xfId="0" applyFont="1" applyFill="1" applyBorder="1" applyAlignment="1">
      <alignment horizontal="center" vertical="center"/>
    </xf>
    <xf numFmtId="0" fontId="12" fillId="8" borderId="9" xfId="0" applyFont="1" applyFill="1" applyBorder="1" applyAlignment="1">
      <alignment horizontal="center" vertical="center"/>
    </xf>
    <xf numFmtId="0" fontId="12" fillId="9" borderId="8" xfId="0" applyFont="1" applyFill="1" applyBorder="1" applyAlignment="1">
      <alignment horizontal="center" vertical="center"/>
    </xf>
    <xf numFmtId="0" fontId="12" fillId="9" borderId="13" xfId="0" applyFont="1" applyFill="1" applyBorder="1" applyAlignment="1">
      <alignment horizontal="center" vertical="center"/>
    </xf>
    <xf numFmtId="0" fontId="12" fillId="9" borderId="9" xfId="0" applyFont="1" applyFill="1" applyBorder="1" applyAlignment="1">
      <alignment horizontal="center" vertical="center"/>
    </xf>
    <xf numFmtId="164" fontId="0" fillId="0" borderId="23" xfId="0" applyNumberFormat="1" applyFill="1" applyBorder="1" applyAlignment="1">
      <alignment horizontal="center"/>
    </xf>
    <xf numFmtId="0" fontId="0" fillId="0" borderId="24" xfId="0" applyFill="1" applyBorder="1" applyAlignment="1">
      <alignment horizontal="center"/>
    </xf>
    <xf numFmtId="0" fontId="14" fillId="12" borderId="0" xfId="0" applyFont="1" applyFill="1" applyAlignment="1">
      <alignment horizontal="center"/>
    </xf>
    <xf numFmtId="43" fontId="0" fillId="0" borderId="3" xfId="1" applyNumberFormat="1" applyFont="1" applyBorder="1"/>
    <xf numFmtId="43" fontId="0" fillId="0" borderId="10" xfId="1" applyNumberFormat="1" applyFont="1" applyBorder="1"/>
  </cellXfs>
  <cellStyles count="8">
    <cellStyle name="Comma" xfId="1" builtinId="3"/>
    <cellStyle name="Dane wejściowe" xfId="2"/>
    <cellStyle name="Dane wyjściowe" xfId="3"/>
    <cellStyle name="Dobre" xfId="4" hidden="1"/>
    <cellStyle name="Komórka połączona" xfId="5" hidden="1"/>
    <cellStyle name="Normal" xfId="0" builtinId="0"/>
    <cellStyle name="Suma" xfId="7" hidden="1"/>
    <cellStyle name="Tekst ostrzeżenia" xfId="6" hidden="1"/>
  </cellStyles>
  <dxfs count="9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0" tint="-0.34998626667073579"/>
      </font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  <fill>
        <patternFill>
          <bgColor theme="4" tint="0.79998168889431442"/>
        </patternFill>
      </fill>
    </dxf>
  </dxfs>
  <tableStyles count="1" defaultTableStyle="TableStyleMedium9" defaultPivotStyle="PivotStyleLight16">
    <tableStyle name="ST" pivot="0" count="1">
      <tableStyleElement type="firstRowStripe" dxfId="8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control" Target="../activeX/activeX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B1:L27"/>
  <sheetViews>
    <sheetView tabSelected="1" workbookViewId="0">
      <selection activeCell="H13" sqref="H13"/>
    </sheetView>
  </sheetViews>
  <sheetFormatPr defaultRowHeight="12.75"/>
  <cols>
    <col min="1" max="1" width="4.28515625" customWidth="1"/>
    <col min="2" max="3" width="10.7109375" customWidth="1"/>
    <col min="4" max="8" width="20.7109375" customWidth="1"/>
    <col min="9" max="9" width="40.7109375" bestFit="1" customWidth="1"/>
    <col min="10" max="10" width="8.85546875" hidden="1" customWidth="1"/>
    <col min="11" max="12" width="9.140625" hidden="1" customWidth="1"/>
  </cols>
  <sheetData>
    <row r="1" spans="2:12" ht="13.5" thickBot="1"/>
    <row r="2" spans="2:12" ht="16.5" thickBot="1">
      <c r="B2" s="88" t="s">
        <v>55</v>
      </c>
      <c r="C2" s="89"/>
      <c r="D2" s="53">
        <v>41310</v>
      </c>
    </row>
    <row r="3" spans="2:12" ht="13.5" thickBot="1"/>
    <row r="4" spans="2:12" ht="31.5" customHeight="1">
      <c r="B4" s="90" t="s">
        <v>59</v>
      </c>
      <c r="C4" s="91"/>
      <c r="D4" s="92" t="s">
        <v>17</v>
      </c>
      <c r="E4" s="96" t="s">
        <v>21</v>
      </c>
      <c r="F4" s="96" t="s">
        <v>18</v>
      </c>
      <c r="G4" s="96" t="s">
        <v>19</v>
      </c>
      <c r="H4" s="96" t="s">
        <v>20</v>
      </c>
      <c r="I4" s="98" t="s">
        <v>3</v>
      </c>
    </row>
    <row r="5" spans="2:12" s="5" customFormat="1" ht="15.75">
      <c r="B5" s="69" t="s">
        <v>2</v>
      </c>
      <c r="C5" s="70" t="s">
        <v>60</v>
      </c>
      <c r="D5" s="93"/>
      <c r="E5" s="97"/>
      <c r="F5" s="97"/>
      <c r="G5" s="97"/>
      <c r="H5" s="97"/>
      <c r="I5" s="99"/>
    </row>
    <row r="6" spans="2:12">
      <c r="B6" s="68" t="s">
        <v>1</v>
      </c>
      <c r="C6" s="71" t="s">
        <v>58</v>
      </c>
      <c r="D6" s="54" t="s">
        <v>0</v>
      </c>
      <c r="E6" s="55">
        <v>50000</v>
      </c>
      <c r="F6" s="56">
        <v>0.9</v>
      </c>
      <c r="G6" s="56">
        <v>1.1000000000000001</v>
      </c>
      <c r="H6" s="115">
        <v>111.46608889661729</v>
      </c>
      <c r="I6" s="58" t="s">
        <v>4</v>
      </c>
      <c r="J6" t="b">
        <f>AND(F6*E6&lt;=H6,H6&lt;E6)</f>
        <v>0</v>
      </c>
      <c r="K6" t="b">
        <f>E6&lt;H6&lt;G6*E6</f>
        <v>0</v>
      </c>
      <c r="L6" t="b">
        <f>H6&gt;=E6*F6</f>
        <v>0</v>
      </c>
    </row>
    <row r="7" spans="2:12">
      <c r="B7" s="66" t="s">
        <v>1</v>
      </c>
      <c r="C7" s="72" t="s">
        <v>0</v>
      </c>
      <c r="D7" s="54" t="s">
        <v>0</v>
      </c>
      <c r="E7" s="55">
        <v>40000</v>
      </c>
      <c r="F7" s="56">
        <v>0.9</v>
      </c>
      <c r="G7" s="56">
        <v>1.1000000000000001</v>
      </c>
      <c r="H7" s="115">
        <v>21.514871246181428</v>
      </c>
      <c r="I7" s="58" t="s">
        <v>11</v>
      </c>
      <c r="J7" t="b">
        <f>AND(F7*E7&lt;=H7,H7&lt;E7)</f>
        <v>0</v>
      </c>
      <c r="K7" t="b">
        <f t="shared" ref="K7:K16" si="0">E7&lt;H7&lt;G7*E7</f>
        <v>0</v>
      </c>
      <c r="L7" t="b">
        <f t="shared" ref="L7:L16" si="1">H7&gt;=E7*F7</f>
        <v>0</v>
      </c>
    </row>
    <row r="8" spans="2:12">
      <c r="B8" s="66" t="s">
        <v>1</v>
      </c>
      <c r="C8" s="72" t="s">
        <v>24</v>
      </c>
      <c r="D8" s="54" t="s">
        <v>0</v>
      </c>
      <c r="E8" s="55">
        <v>20000</v>
      </c>
      <c r="F8" s="56">
        <v>0.9</v>
      </c>
      <c r="G8" s="56">
        <v>1.1000000000000001</v>
      </c>
      <c r="H8" s="115">
        <v>53.804923917166889</v>
      </c>
      <c r="I8" s="58" t="s">
        <v>12</v>
      </c>
      <c r="J8" t="b">
        <f t="shared" ref="J8:J16" si="2">AND(F8*E8&lt;=H8,H8&lt;E8)</f>
        <v>0</v>
      </c>
      <c r="K8" t="b">
        <f t="shared" si="0"/>
        <v>0</v>
      </c>
      <c r="L8" t="b">
        <f t="shared" si="1"/>
        <v>0</v>
      </c>
    </row>
    <row r="9" spans="2:12">
      <c r="B9" s="66" t="s">
        <v>1</v>
      </c>
      <c r="C9" s="72" t="s">
        <v>25</v>
      </c>
      <c r="D9" s="54" t="s">
        <v>0</v>
      </c>
      <c r="E9" s="55">
        <v>20000</v>
      </c>
      <c r="F9" s="56">
        <v>0.9</v>
      </c>
      <c r="G9" s="56">
        <v>1.1000000000000001</v>
      </c>
      <c r="H9" s="115">
        <v>36.146293733268976</v>
      </c>
      <c r="I9" s="58" t="s">
        <v>12</v>
      </c>
      <c r="J9" t="b">
        <f t="shared" si="2"/>
        <v>0</v>
      </c>
      <c r="K9" t="b">
        <f t="shared" si="0"/>
        <v>0</v>
      </c>
      <c r="L9" t="b">
        <f t="shared" si="1"/>
        <v>0</v>
      </c>
    </row>
    <row r="10" spans="2:12">
      <c r="B10" s="57" t="s">
        <v>5</v>
      </c>
      <c r="C10" s="73"/>
      <c r="D10" s="54" t="s">
        <v>0</v>
      </c>
      <c r="E10" s="55">
        <v>2000000</v>
      </c>
      <c r="F10" s="56">
        <v>0.9</v>
      </c>
      <c r="G10" s="56">
        <v>1.1000000000000001</v>
      </c>
      <c r="H10" s="115">
        <v>0</v>
      </c>
      <c r="I10" s="58" t="s">
        <v>6</v>
      </c>
      <c r="J10" t="b">
        <f t="shared" si="2"/>
        <v>0</v>
      </c>
      <c r="K10" t="b">
        <f t="shared" si="0"/>
        <v>0</v>
      </c>
      <c r="L10" t="b">
        <f t="shared" si="1"/>
        <v>0</v>
      </c>
    </row>
    <row r="11" spans="2:12">
      <c r="B11" s="57" t="s">
        <v>7</v>
      </c>
      <c r="C11" s="74">
        <v>0.99</v>
      </c>
      <c r="D11" s="54" t="s">
        <v>0</v>
      </c>
      <c r="E11" s="55">
        <v>300000</v>
      </c>
      <c r="F11" s="56">
        <v>0.9</v>
      </c>
      <c r="G11" s="56">
        <v>1.1000000000000001</v>
      </c>
      <c r="H11" s="115">
        <v>-10905.146876263014</v>
      </c>
      <c r="I11" s="58" t="s">
        <v>8</v>
      </c>
      <c r="J11" t="b">
        <f t="shared" si="2"/>
        <v>0</v>
      </c>
      <c r="K11" t="b">
        <f t="shared" si="0"/>
        <v>0</v>
      </c>
      <c r="L11" t="b">
        <f t="shared" si="1"/>
        <v>0</v>
      </c>
    </row>
    <row r="12" spans="2:12">
      <c r="B12" s="57" t="s">
        <v>9</v>
      </c>
      <c r="C12" s="74">
        <v>0.99</v>
      </c>
      <c r="D12" s="54" t="s">
        <v>0</v>
      </c>
      <c r="E12" s="55">
        <v>600000</v>
      </c>
      <c r="F12" s="56">
        <v>0.9</v>
      </c>
      <c r="G12" s="56">
        <v>1.1000000000000001</v>
      </c>
      <c r="H12" s="115">
        <v>-12048.809645635547</v>
      </c>
      <c r="I12" s="58" t="s">
        <v>10</v>
      </c>
      <c r="J12" t="b">
        <f t="shared" si="2"/>
        <v>0</v>
      </c>
      <c r="K12" t="b">
        <f t="shared" si="0"/>
        <v>0</v>
      </c>
      <c r="L12" t="b">
        <f t="shared" si="1"/>
        <v>0</v>
      </c>
    </row>
    <row r="13" spans="2:12">
      <c r="B13" s="57" t="s">
        <v>13</v>
      </c>
      <c r="C13" s="72" t="s">
        <v>58</v>
      </c>
      <c r="D13" s="54" t="s">
        <v>0</v>
      </c>
      <c r="E13" s="55">
        <v>70000</v>
      </c>
      <c r="F13" s="56">
        <v>0.9</v>
      </c>
      <c r="G13" s="56">
        <v>1.1000000000000001</v>
      </c>
      <c r="H13" s="115">
        <v>0</v>
      </c>
      <c r="I13" s="58" t="s">
        <v>14</v>
      </c>
      <c r="J13" t="b">
        <f t="shared" si="2"/>
        <v>0</v>
      </c>
      <c r="K13" t="b">
        <f t="shared" si="0"/>
        <v>0</v>
      </c>
      <c r="L13" t="b">
        <f t="shared" si="1"/>
        <v>0</v>
      </c>
    </row>
    <row r="14" spans="2:12">
      <c r="B14" s="66" t="s">
        <v>13</v>
      </c>
      <c r="C14" s="72" t="s">
        <v>0</v>
      </c>
      <c r="D14" s="54" t="s">
        <v>0</v>
      </c>
      <c r="E14" s="55">
        <v>60000</v>
      </c>
      <c r="F14" s="56">
        <v>0.9</v>
      </c>
      <c r="G14" s="56">
        <v>1.1000000000000001</v>
      </c>
      <c r="H14" s="115">
        <v>0</v>
      </c>
      <c r="I14" s="58" t="s">
        <v>15</v>
      </c>
      <c r="J14" t="b">
        <f t="shared" si="2"/>
        <v>0</v>
      </c>
      <c r="K14" t="b">
        <f t="shared" si="0"/>
        <v>0</v>
      </c>
      <c r="L14" t="b">
        <f t="shared" si="1"/>
        <v>0</v>
      </c>
    </row>
    <row r="15" spans="2:12">
      <c r="B15" s="66" t="s">
        <v>13</v>
      </c>
      <c r="C15" s="72" t="s">
        <v>24</v>
      </c>
      <c r="D15" s="54" t="s">
        <v>0</v>
      </c>
      <c r="E15" s="55">
        <v>30000</v>
      </c>
      <c r="F15" s="56">
        <v>0.9</v>
      </c>
      <c r="G15" s="56">
        <v>1.1000000000000001</v>
      </c>
      <c r="H15" s="115">
        <v>0</v>
      </c>
      <c r="I15" s="58" t="s">
        <v>16</v>
      </c>
      <c r="J15" t="b">
        <f t="shared" si="2"/>
        <v>0</v>
      </c>
      <c r="K15" t="b">
        <f t="shared" si="0"/>
        <v>0</v>
      </c>
      <c r="L15" t="b">
        <f t="shared" si="1"/>
        <v>0</v>
      </c>
    </row>
    <row r="16" spans="2:12" ht="13.5" thickBot="1">
      <c r="B16" s="67" t="s">
        <v>13</v>
      </c>
      <c r="C16" s="75" t="s">
        <v>25</v>
      </c>
      <c r="D16" s="59" t="s">
        <v>0</v>
      </c>
      <c r="E16" s="60">
        <v>30000</v>
      </c>
      <c r="F16" s="61">
        <v>0.9</v>
      </c>
      <c r="G16" s="61">
        <v>1.1000000000000001</v>
      </c>
      <c r="H16" s="116">
        <v>0</v>
      </c>
      <c r="I16" s="62" t="s">
        <v>16</v>
      </c>
      <c r="J16" t="b">
        <f t="shared" si="2"/>
        <v>0</v>
      </c>
      <c r="K16" t="b">
        <f t="shared" si="0"/>
        <v>0</v>
      </c>
      <c r="L16" t="b">
        <f t="shared" si="1"/>
        <v>0</v>
      </c>
    </row>
    <row r="17" spans="2:7" ht="20.100000000000001" customHeight="1"/>
    <row r="22" spans="2:7" ht="13.5" thickBot="1"/>
    <row r="23" spans="2:7" ht="15.75">
      <c r="B23" s="85" t="s">
        <v>65</v>
      </c>
      <c r="C23" s="86"/>
      <c r="D23" s="87"/>
      <c r="F23" s="63" t="s">
        <v>56</v>
      </c>
      <c r="G23" s="65">
        <f>COUNTIF(J6:J16,TRUE)</f>
        <v>0</v>
      </c>
    </row>
    <row r="24" spans="2:7" ht="15">
      <c r="B24" s="94" t="s">
        <v>63</v>
      </c>
      <c r="C24" s="95"/>
      <c r="D24" s="80">
        <v>2.8984375</v>
      </c>
      <c r="F24" s="76" t="s">
        <v>57</v>
      </c>
      <c r="G24" s="77">
        <f>COUNTIF(K6:K16,TRUE)</f>
        <v>0</v>
      </c>
    </row>
    <row r="25" spans="2:7" ht="15.75" thickBot="1">
      <c r="B25" s="83" t="s">
        <v>64</v>
      </c>
      <c r="C25" s="84"/>
      <c r="D25" s="81">
        <v>53.26171875</v>
      </c>
      <c r="F25" s="64" t="s">
        <v>61</v>
      </c>
      <c r="G25" s="78">
        <f>COUNTIF(L6:L16,TRUE)</f>
        <v>0</v>
      </c>
    </row>
    <row r="27" spans="2:7">
      <c r="E27" s="79" t="s">
        <v>62</v>
      </c>
    </row>
  </sheetData>
  <mergeCells count="11">
    <mergeCell ref="E4:E5"/>
    <mergeCell ref="F4:F5"/>
    <mergeCell ref="G4:G5"/>
    <mergeCell ref="H4:H5"/>
    <mergeCell ref="I4:I5"/>
    <mergeCell ref="B25:C25"/>
    <mergeCell ref="B23:D23"/>
    <mergeCell ref="B2:C2"/>
    <mergeCell ref="B4:C4"/>
    <mergeCell ref="D4:D5"/>
    <mergeCell ref="B24:C24"/>
  </mergeCells>
  <phoneticPr fontId="5" type="noConversion"/>
  <conditionalFormatting sqref="H6:H16">
    <cfRule type="cellIs" dxfId="7" priority="7" operator="greaterThan">
      <formula>$G6*$E6</formula>
    </cfRule>
    <cfRule type="cellIs" dxfId="6" priority="8" operator="greaterThanOrEqual">
      <formula>$E6</formula>
    </cfRule>
    <cfRule type="cellIs" dxfId="5" priority="9" operator="greaterThanOrEqual">
      <formula>$F6*$E6</formula>
    </cfRule>
  </conditionalFormatting>
  <pageMargins left="0.75" right="0.75" top="1" bottom="1" header="0.5" footer="0.5"/>
  <headerFooter alignWithMargins="0"/>
  <legacyDrawing r:id="rId1"/>
  <controls>
    <control shapeId="2049" r:id="rId2" name="MainButton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Arkusz1"/>
  <dimension ref="A1:CJ29"/>
  <sheetViews>
    <sheetView workbookViewId="0">
      <selection activeCell="E2" sqref="E2"/>
    </sheetView>
  </sheetViews>
  <sheetFormatPr defaultRowHeight="12.75"/>
  <cols>
    <col min="1" max="1" width="10.7109375" style="7" customWidth="1"/>
    <col min="2" max="2" width="20.42578125" style="7" bestFit="1" customWidth="1"/>
    <col min="3" max="256" width="9.140625" style="7"/>
    <col min="257" max="257" width="5.28515625" style="7" customWidth="1"/>
    <col min="258" max="258" width="20.42578125" style="7" bestFit="1" customWidth="1"/>
    <col min="259" max="512" width="9.140625" style="7"/>
    <col min="513" max="513" width="5.28515625" style="7" customWidth="1"/>
    <col min="514" max="514" width="20.42578125" style="7" bestFit="1" customWidth="1"/>
    <col min="515" max="768" width="9.140625" style="7"/>
    <col min="769" max="769" width="5.28515625" style="7" customWidth="1"/>
    <col min="770" max="770" width="20.42578125" style="7" bestFit="1" customWidth="1"/>
    <col min="771" max="1024" width="9.140625" style="7"/>
    <col min="1025" max="1025" width="5.28515625" style="7" customWidth="1"/>
    <col min="1026" max="1026" width="20.42578125" style="7" bestFit="1" customWidth="1"/>
    <col min="1027" max="1280" width="9.140625" style="7"/>
    <col min="1281" max="1281" width="5.28515625" style="7" customWidth="1"/>
    <col min="1282" max="1282" width="20.42578125" style="7" bestFit="1" customWidth="1"/>
    <col min="1283" max="1536" width="9.140625" style="7"/>
    <col min="1537" max="1537" width="5.28515625" style="7" customWidth="1"/>
    <col min="1538" max="1538" width="20.42578125" style="7" bestFit="1" customWidth="1"/>
    <col min="1539" max="1792" width="9.140625" style="7"/>
    <col min="1793" max="1793" width="5.28515625" style="7" customWidth="1"/>
    <col min="1794" max="1794" width="20.42578125" style="7" bestFit="1" customWidth="1"/>
    <col min="1795" max="2048" width="9.140625" style="7"/>
    <col min="2049" max="2049" width="5.28515625" style="7" customWidth="1"/>
    <col min="2050" max="2050" width="20.42578125" style="7" bestFit="1" customWidth="1"/>
    <col min="2051" max="2304" width="9.140625" style="7"/>
    <col min="2305" max="2305" width="5.28515625" style="7" customWidth="1"/>
    <col min="2306" max="2306" width="20.42578125" style="7" bestFit="1" customWidth="1"/>
    <col min="2307" max="2560" width="9.140625" style="7"/>
    <col min="2561" max="2561" width="5.28515625" style="7" customWidth="1"/>
    <col min="2562" max="2562" width="20.42578125" style="7" bestFit="1" customWidth="1"/>
    <col min="2563" max="2816" width="9.140625" style="7"/>
    <col min="2817" max="2817" width="5.28515625" style="7" customWidth="1"/>
    <col min="2818" max="2818" width="20.42578125" style="7" bestFit="1" customWidth="1"/>
    <col min="2819" max="3072" width="9.140625" style="7"/>
    <col min="3073" max="3073" width="5.28515625" style="7" customWidth="1"/>
    <col min="3074" max="3074" width="20.42578125" style="7" bestFit="1" customWidth="1"/>
    <col min="3075" max="3328" width="9.140625" style="7"/>
    <col min="3329" max="3329" width="5.28515625" style="7" customWidth="1"/>
    <col min="3330" max="3330" width="20.42578125" style="7" bestFit="1" customWidth="1"/>
    <col min="3331" max="3584" width="9.140625" style="7"/>
    <col min="3585" max="3585" width="5.28515625" style="7" customWidth="1"/>
    <col min="3586" max="3586" width="20.42578125" style="7" bestFit="1" customWidth="1"/>
    <col min="3587" max="3840" width="9.140625" style="7"/>
    <col min="3841" max="3841" width="5.28515625" style="7" customWidth="1"/>
    <col min="3842" max="3842" width="20.42578125" style="7" bestFit="1" customWidth="1"/>
    <col min="3843" max="4096" width="9.140625" style="7"/>
    <col min="4097" max="4097" width="5.28515625" style="7" customWidth="1"/>
    <col min="4098" max="4098" width="20.42578125" style="7" bestFit="1" customWidth="1"/>
    <col min="4099" max="4352" width="9.140625" style="7"/>
    <col min="4353" max="4353" width="5.28515625" style="7" customWidth="1"/>
    <col min="4354" max="4354" width="20.42578125" style="7" bestFit="1" customWidth="1"/>
    <col min="4355" max="4608" width="9.140625" style="7"/>
    <col min="4609" max="4609" width="5.28515625" style="7" customWidth="1"/>
    <col min="4610" max="4610" width="20.42578125" style="7" bestFit="1" customWidth="1"/>
    <col min="4611" max="4864" width="9.140625" style="7"/>
    <col min="4865" max="4865" width="5.28515625" style="7" customWidth="1"/>
    <col min="4866" max="4866" width="20.42578125" style="7" bestFit="1" customWidth="1"/>
    <col min="4867" max="5120" width="9.140625" style="7"/>
    <col min="5121" max="5121" width="5.28515625" style="7" customWidth="1"/>
    <col min="5122" max="5122" width="20.42578125" style="7" bestFit="1" customWidth="1"/>
    <col min="5123" max="5376" width="9.140625" style="7"/>
    <col min="5377" max="5377" width="5.28515625" style="7" customWidth="1"/>
    <col min="5378" max="5378" width="20.42578125" style="7" bestFit="1" customWidth="1"/>
    <col min="5379" max="5632" width="9.140625" style="7"/>
    <col min="5633" max="5633" width="5.28515625" style="7" customWidth="1"/>
    <col min="5634" max="5634" width="20.42578125" style="7" bestFit="1" customWidth="1"/>
    <col min="5635" max="5888" width="9.140625" style="7"/>
    <col min="5889" max="5889" width="5.28515625" style="7" customWidth="1"/>
    <col min="5890" max="5890" width="20.42578125" style="7" bestFit="1" customWidth="1"/>
    <col min="5891" max="6144" width="9.140625" style="7"/>
    <col min="6145" max="6145" width="5.28515625" style="7" customWidth="1"/>
    <col min="6146" max="6146" width="20.42578125" style="7" bestFit="1" customWidth="1"/>
    <col min="6147" max="6400" width="9.140625" style="7"/>
    <col min="6401" max="6401" width="5.28515625" style="7" customWidth="1"/>
    <col min="6402" max="6402" width="20.42578125" style="7" bestFit="1" customWidth="1"/>
    <col min="6403" max="6656" width="9.140625" style="7"/>
    <col min="6657" max="6657" width="5.28515625" style="7" customWidth="1"/>
    <col min="6658" max="6658" width="20.42578125" style="7" bestFit="1" customWidth="1"/>
    <col min="6659" max="6912" width="9.140625" style="7"/>
    <col min="6913" max="6913" width="5.28515625" style="7" customWidth="1"/>
    <col min="6914" max="6914" width="20.42578125" style="7" bestFit="1" customWidth="1"/>
    <col min="6915" max="7168" width="9.140625" style="7"/>
    <col min="7169" max="7169" width="5.28515625" style="7" customWidth="1"/>
    <col min="7170" max="7170" width="20.42578125" style="7" bestFit="1" customWidth="1"/>
    <col min="7171" max="7424" width="9.140625" style="7"/>
    <col min="7425" max="7425" width="5.28515625" style="7" customWidth="1"/>
    <col min="7426" max="7426" width="20.42578125" style="7" bestFit="1" customWidth="1"/>
    <col min="7427" max="7680" width="9.140625" style="7"/>
    <col min="7681" max="7681" width="5.28515625" style="7" customWidth="1"/>
    <col min="7682" max="7682" width="20.42578125" style="7" bestFit="1" customWidth="1"/>
    <col min="7683" max="7936" width="9.140625" style="7"/>
    <col min="7937" max="7937" width="5.28515625" style="7" customWidth="1"/>
    <col min="7938" max="7938" width="20.42578125" style="7" bestFit="1" customWidth="1"/>
    <col min="7939" max="8192" width="9.140625" style="7"/>
    <col min="8193" max="8193" width="5.28515625" style="7" customWidth="1"/>
    <col min="8194" max="8194" width="20.42578125" style="7" bestFit="1" customWidth="1"/>
    <col min="8195" max="8448" width="9.140625" style="7"/>
    <col min="8449" max="8449" width="5.28515625" style="7" customWidth="1"/>
    <col min="8450" max="8450" width="20.42578125" style="7" bestFit="1" customWidth="1"/>
    <col min="8451" max="8704" width="9.140625" style="7"/>
    <col min="8705" max="8705" width="5.28515625" style="7" customWidth="1"/>
    <col min="8706" max="8706" width="20.42578125" style="7" bestFit="1" customWidth="1"/>
    <col min="8707" max="8960" width="9.140625" style="7"/>
    <col min="8961" max="8961" width="5.28515625" style="7" customWidth="1"/>
    <col min="8962" max="8962" width="20.42578125" style="7" bestFit="1" customWidth="1"/>
    <col min="8963" max="9216" width="9.140625" style="7"/>
    <col min="9217" max="9217" width="5.28515625" style="7" customWidth="1"/>
    <col min="9218" max="9218" width="20.42578125" style="7" bestFit="1" customWidth="1"/>
    <col min="9219" max="9472" width="9.140625" style="7"/>
    <col min="9473" max="9473" width="5.28515625" style="7" customWidth="1"/>
    <col min="9474" max="9474" width="20.42578125" style="7" bestFit="1" customWidth="1"/>
    <col min="9475" max="9728" width="9.140625" style="7"/>
    <col min="9729" max="9729" width="5.28515625" style="7" customWidth="1"/>
    <col min="9730" max="9730" width="20.42578125" style="7" bestFit="1" customWidth="1"/>
    <col min="9731" max="9984" width="9.140625" style="7"/>
    <col min="9985" max="9985" width="5.28515625" style="7" customWidth="1"/>
    <col min="9986" max="9986" width="20.42578125" style="7" bestFit="1" customWidth="1"/>
    <col min="9987" max="10240" width="9.140625" style="7"/>
    <col min="10241" max="10241" width="5.28515625" style="7" customWidth="1"/>
    <col min="10242" max="10242" width="20.42578125" style="7" bestFit="1" customWidth="1"/>
    <col min="10243" max="10496" width="9.140625" style="7"/>
    <col min="10497" max="10497" width="5.28515625" style="7" customWidth="1"/>
    <col min="10498" max="10498" width="20.42578125" style="7" bestFit="1" customWidth="1"/>
    <col min="10499" max="10752" width="9.140625" style="7"/>
    <col min="10753" max="10753" width="5.28515625" style="7" customWidth="1"/>
    <col min="10754" max="10754" width="20.42578125" style="7" bestFit="1" customWidth="1"/>
    <col min="10755" max="11008" width="9.140625" style="7"/>
    <col min="11009" max="11009" width="5.28515625" style="7" customWidth="1"/>
    <col min="11010" max="11010" width="20.42578125" style="7" bestFit="1" customWidth="1"/>
    <col min="11011" max="11264" width="9.140625" style="7"/>
    <col min="11265" max="11265" width="5.28515625" style="7" customWidth="1"/>
    <col min="11266" max="11266" width="20.42578125" style="7" bestFit="1" customWidth="1"/>
    <col min="11267" max="11520" width="9.140625" style="7"/>
    <col min="11521" max="11521" width="5.28515625" style="7" customWidth="1"/>
    <col min="11522" max="11522" width="20.42578125" style="7" bestFit="1" customWidth="1"/>
    <col min="11523" max="11776" width="9.140625" style="7"/>
    <col min="11777" max="11777" width="5.28515625" style="7" customWidth="1"/>
    <col min="11778" max="11778" width="20.42578125" style="7" bestFit="1" customWidth="1"/>
    <col min="11779" max="12032" width="9.140625" style="7"/>
    <col min="12033" max="12033" width="5.28515625" style="7" customWidth="1"/>
    <col min="12034" max="12034" width="20.42578125" style="7" bestFit="1" customWidth="1"/>
    <col min="12035" max="12288" width="9.140625" style="7"/>
    <col min="12289" max="12289" width="5.28515625" style="7" customWidth="1"/>
    <col min="12290" max="12290" width="20.42578125" style="7" bestFit="1" customWidth="1"/>
    <col min="12291" max="12544" width="9.140625" style="7"/>
    <col min="12545" max="12545" width="5.28515625" style="7" customWidth="1"/>
    <col min="12546" max="12546" width="20.42578125" style="7" bestFit="1" customWidth="1"/>
    <col min="12547" max="12800" width="9.140625" style="7"/>
    <col min="12801" max="12801" width="5.28515625" style="7" customWidth="1"/>
    <col min="12802" max="12802" width="20.42578125" style="7" bestFit="1" customWidth="1"/>
    <col min="12803" max="13056" width="9.140625" style="7"/>
    <col min="13057" max="13057" width="5.28515625" style="7" customWidth="1"/>
    <col min="13058" max="13058" width="20.42578125" style="7" bestFit="1" customWidth="1"/>
    <col min="13059" max="13312" width="9.140625" style="7"/>
    <col min="13313" max="13313" width="5.28515625" style="7" customWidth="1"/>
    <col min="13314" max="13314" width="20.42578125" style="7" bestFit="1" customWidth="1"/>
    <col min="13315" max="13568" width="9.140625" style="7"/>
    <col min="13569" max="13569" width="5.28515625" style="7" customWidth="1"/>
    <col min="13570" max="13570" width="20.42578125" style="7" bestFit="1" customWidth="1"/>
    <col min="13571" max="13824" width="9.140625" style="7"/>
    <col min="13825" max="13825" width="5.28515625" style="7" customWidth="1"/>
    <col min="13826" max="13826" width="20.42578125" style="7" bestFit="1" customWidth="1"/>
    <col min="13827" max="14080" width="9.140625" style="7"/>
    <col min="14081" max="14081" width="5.28515625" style="7" customWidth="1"/>
    <col min="14082" max="14082" width="20.42578125" style="7" bestFit="1" customWidth="1"/>
    <col min="14083" max="14336" width="9.140625" style="7"/>
    <col min="14337" max="14337" width="5.28515625" style="7" customWidth="1"/>
    <col min="14338" max="14338" width="20.42578125" style="7" bestFit="1" customWidth="1"/>
    <col min="14339" max="14592" width="9.140625" style="7"/>
    <col min="14593" max="14593" width="5.28515625" style="7" customWidth="1"/>
    <col min="14594" max="14594" width="20.42578125" style="7" bestFit="1" customWidth="1"/>
    <col min="14595" max="14848" width="9.140625" style="7"/>
    <col min="14849" max="14849" width="5.28515625" style="7" customWidth="1"/>
    <col min="14850" max="14850" width="20.42578125" style="7" bestFit="1" customWidth="1"/>
    <col min="14851" max="15104" width="9.140625" style="7"/>
    <col min="15105" max="15105" width="5.28515625" style="7" customWidth="1"/>
    <col min="15106" max="15106" width="20.42578125" style="7" bestFit="1" customWidth="1"/>
    <col min="15107" max="15360" width="9.140625" style="7"/>
    <col min="15361" max="15361" width="5.28515625" style="7" customWidth="1"/>
    <col min="15362" max="15362" width="20.42578125" style="7" bestFit="1" customWidth="1"/>
    <col min="15363" max="15616" width="9.140625" style="7"/>
    <col min="15617" max="15617" width="5.28515625" style="7" customWidth="1"/>
    <col min="15618" max="15618" width="20.42578125" style="7" bestFit="1" customWidth="1"/>
    <col min="15619" max="15872" width="9.140625" style="7"/>
    <col min="15873" max="15873" width="5.28515625" style="7" customWidth="1"/>
    <col min="15874" max="15874" width="20.42578125" style="7" bestFit="1" customWidth="1"/>
    <col min="15875" max="16128" width="9.140625" style="7"/>
    <col min="16129" max="16129" width="5.28515625" style="7" customWidth="1"/>
    <col min="16130" max="16130" width="20.42578125" style="7" bestFit="1" customWidth="1"/>
    <col min="16131" max="16384" width="9.140625" style="7"/>
  </cols>
  <sheetData>
    <row r="1" spans="1:88" customFormat="1" ht="16.5" thickBot="1">
      <c r="E1" s="90" t="s">
        <v>22</v>
      </c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2"/>
      <c r="S1" s="103" t="s">
        <v>23</v>
      </c>
      <c r="T1" s="104"/>
      <c r="U1" s="104"/>
      <c r="V1" s="104"/>
      <c r="W1" s="104"/>
      <c r="X1" s="104"/>
      <c r="Y1" s="104"/>
      <c r="Z1" s="104"/>
      <c r="AA1" s="104"/>
      <c r="AB1" s="104"/>
      <c r="AC1" s="104"/>
      <c r="AD1" s="104"/>
      <c r="AE1" s="104"/>
      <c r="AF1" s="105"/>
      <c r="AG1" s="106" t="s">
        <v>24</v>
      </c>
      <c r="AH1" s="107"/>
      <c r="AI1" s="107"/>
      <c r="AJ1" s="107"/>
      <c r="AK1" s="107"/>
      <c r="AL1" s="107"/>
      <c r="AM1" s="107"/>
      <c r="AN1" s="107"/>
      <c r="AO1" s="107"/>
      <c r="AP1" s="107"/>
      <c r="AQ1" s="107"/>
      <c r="AR1" s="107"/>
      <c r="AS1" s="107"/>
      <c r="AT1" s="108"/>
      <c r="AU1" s="109" t="s">
        <v>25</v>
      </c>
      <c r="AV1" s="110"/>
      <c r="AW1" s="110"/>
      <c r="AX1" s="110"/>
      <c r="AY1" s="110"/>
      <c r="AZ1" s="110"/>
      <c r="BA1" s="110"/>
      <c r="BB1" s="110"/>
      <c r="BC1" s="110"/>
      <c r="BD1" s="110"/>
      <c r="BE1" s="110"/>
      <c r="BF1" s="110"/>
      <c r="BG1" s="110"/>
      <c r="BH1" s="111"/>
      <c r="BI1" s="6"/>
      <c r="BJ1" s="6"/>
      <c r="BK1" s="6"/>
      <c r="BL1" s="6"/>
      <c r="BM1" s="6"/>
      <c r="BN1" s="6"/>
      <c r="BO1" s="6"/>
      <c r="BP1" s="6"/>
      <c r="BQ1" s="6"/>
      <c r="BR1" s="6"/>
      <c r="BS1" s="6"/>
      <c r="BT1" s="6"/>
      <c r="BU1" s="6"/>
      <c r="BV1" s="6"/>
      <c r="BW1" s="6"/>
      <c r="BX1" s="6"/>
      <c r="BY1" s="6"/>
      <c r="BZ1" s="6"/>
      <c r="CA1" s="6"/>
      <c r="CB1" s="6"/>
      <c r="CC1" s="6"/>
      <c r="CD1" s="6"/>
      <c r="CE1" s="6"/>
      <c r="CF1" s="6"/>
      <c r="CG1" s="6"/>
      <c r="CH1" s="6"/>
      <c r="CI1" s="6"/>
      <c r="CJ1" s="6"/>
    </row>
    <row r="2" spans="1:88" customFormat="1" ht="15.75">
      <c r="A2" s="21" t="s">
        <v>26</v>
      </c>
      <c r="B2" s="22" t="s">
        <v>2</v>
      </c>
      <c r="C2" s="21" t="s">
        <v>27</v>
      </c>
      <c r="D2" s="23" t="s">
        <v>28</v>
      </c>
      <c r="E2" s="14" t="s">
        <v>29</v>
      </c>
      <c r="F2" s="8" t="s">
        <v>30</v>
      </c>
      <c r="G2" s="8" t="s">
        <v>31</v>
      </c>
      <c r="H2" s="8" t="s">
        <v>32</v>
      </c>
      <c r="I2" s="8" t="s">
        <v>33</v>
      </c>
      <c r="J2" s="8" t="s">
        <v>34</v>
      </c>
      <c r="K2" s="8" t="s">
        <v>35</v>
      </c>
      <c r="L2" s="8" t="s">
        <v>36</v>
      </c>
      <c r="M2" s="8" t="s">
        <v>37</v>
      </c>
      <c r="N2" s="8" t="s">
        <v>38</v>
      </c>
      <c r="O2" s="8" t="s">
        <v>39</v>
      </c>
      <c r="P2" s="8" t="s">
        <v>40</v>
      </c>
      <c r="Q2" s="8" t="s">
        <v>41</v>
      </c>
      <c r="R2" s="15" t="s">
        <v>42</v>
      </c>
      <c r="S2" s="26" t="s">
        <v>29</v>
      </c>
      <c r="T2" s="9" t="s">
        <v>30</v>
      </c>
      <c r="U2" s="9" t="s">
        <v>31</v>
      </c>
      <c r="V2" s="9" t="s">
        <v>32</v>
      </c>
      <c r="W2" s="9" t="s">
        <v>33</v>
      </c>
      <c r="X2" s="9" t="s">
        <v>34</v>
      </c>
      <c r="Y2" s="9" t="s">
        <v>35</v>
      </c>
      <c r="Z2" s="9" t="s">
        <v>36</v>
      </c>
      <c r="AA2" s="9" t="s">
        <v>37</v>
      </c>
      <c r="AB2" s="9" t="s">
        <v>38</v>
      </c>
      <c r="AC2" s="9" t="s">
        <v>39</v>
      </c>
      <c r="AD2" s="9" t="s">
        <v>40</v>
      </c>
      <c r="AE2" s="9" t="s">
        <v>41</v>
      </c>
      <c r="AF2" s="27" t="s">
        <v>42</v>
      </c>
      <c r="AG2" s="28" t="s">
        <v>29</v>
      </c>
      <c r="AH2" s="11" t="s">
        <v>30</v>
      </c>
      <c r="AI2" s="11" t="s">
        <v>31</v>
      </c>
      <c r="AJ2" s="11" t="s">
        <v>32</v>
      </c>
      <c r="AK2" s="11" t="s">
        <v>33</v>
      </c>
      <c r="AL2" s="11" t="s">
        <v>34</v>
      </c>
      <c r="AM2" s="11" t="s">
        <v>35</v>
      </c>
      <c r="AN2" s="11" t="s">
        <v>36</v>
      </c>
      <c r="AO2" s="11" t="s">
        <v>37</v>
      </c>
      <c r="AP2" s="11" t="s">
        <v>38</v>
      </c>
      <c r="AQ2" s="11" t="s">
        <v>39</v>
      </c>
      <c r="AR2" s="11" t="s">
        <v>40</v>
      </c>
      <c r="AS2" s="11" t="s">
        <v>41</v>
      </c>
      <c r="AT2" s="29" t="s">
        <v>42</v>
      </c>
      <c r="AU2" s="30" t="s">
        <v>29</v>
      </c>
      <c r="AV2" s="10" t="s">
        <v>30</v>
      </c>
      <c r="AW2" s="10" t="s">
        <v>31</v>
      </c>
      <c r="AX2" s="10" t="s">
        <v>32</v>
      </c>
      <c r="AY2" s="10" t="s">
        <v>33</v>
      </c>
      <c r="AZ2" s="10" t="s">
        <v>34</v>
      </c>
      <c r="BA2" s="10" t="s">
        <v>35</v>
      </c>
      <c r="BB2" s="10" t="s">
        <v>36</v>
      </c>
      <c r="BC2" s="10" t="s">
        <v>37</v>
      </c>
      <c r="BD2" s="10" t="s">
        <v>38</v>
      </c>
      <c r="BE2" s="10" t="s">
        <v>39</v>
      </c>
      <c r="BF2" s="10" t="s">
        <v>40</v>
      </c>
      <c r="BG2" s="10" t="s">
        <v>41</v>
      </c>
      <c r="BH2" s="31" t="s">
        <v>42</v>
      </c>
    </row>
    <row r="3" spans="1:88">
      <c r="A3" s="47">
        <v>1</v>
      </c>
      <c r="B3" s="48" t="s">
        <v>43</v>
      </c>
      <c r="C3" s="47">
        <v>0</v>
      </c>
      <c r="D3" s="49">
        <v>0</v>
      </c>
      <c r="E3" s="16">
        <v>200</v>
      </c>
      <c r="F3" s="12">
        <v>200</v>
      </c>
      <c r="G3" s="12">
        <v>200</v>
      </c>
      <c r="H3" s="12">
        <v>200</v>
      </c>
      <c r="I3" s="12">
        <v>200</v>
      </c>
      <c r="J3" s="12">
        <v>200</v>
      </c>
      <c r="K3" s="12">
        <v>200</v>
      </c>
      <c r="L3" s="12">
        <v>200</v>
      </c>
      <c r="M3" s="12">
        <v>200</v>
      </c>
      <c r="N3" s="12">
        <v>200</v>
      </c>
      <c r="O3" s="12">
        <v>200</v>
      </c>
      <c r="P3" s="12">
        <v>200</v>
      </c>
      <c r="Q3" s="12">
        <v>200</v>
      </c>
      <c r="R3" s="17">
        <v>200</v>
      </c>
      <c r="S3" s="16">
        <v>200</v>
      </c>
      <c r="T3" s="12">
        <v>200</v>
      </c>
      <c r="U3" s="12">
        <v>200</v>
      </c>
      <c r="V3" s="12">
        <v>200</v>
      </c>
      <c r="W3" s="12">
        <v>200</v>
      </c>
      <c r="X3" s="12">
        <v>200</v>
      </c>
      <c r="Y3" s="12">
        <v>200</v>
      </c>
      <c r="Z3" s="12">
        <v>200</v>
      </c>
      <c r="AA3" s="12">
        <v>200</v>
      </c>
      <c r="AB3" s="12">
        <v>200</v>
      </c>
      <c r="AC3" s="12">
        <v>200</v>
      </c>
      <c r="AD3" s="12">
        <v>200</v>
      </c>
      <c r="AE3" s="12">
        <v>200</v>
      </c>
      <c r="AF3" s="17">
        <v>200</v>
      </c>
      <c r="AG3" s="16">
        <v>200</v>
      </c>
      <c r="AH3" s="12">
        <v>200</v>
      </c>
      <c r="AI3" s="12">
        <v>200</v>
      </c>
      <c r="AJ3" s="12">
        <v>200</v>
      </c>
      <c r="AK3" s="12">
        <v>200</v>
      </c>
      <c r="AL3" s="12">
        <v>200</v>
      </c>
      <c r="AM3" s="12">
        <v>200</v>
      </c>
      <c r="AN3" s="12">
        <v>200</v>
      </c>
      <c r="AO3" s="12">
        <v>200</v>
      </c>
      <c r="AP3" s="12">
        <v>200</v>
      </c>
      <c r="AQ3" s="12">
        <v>200</v>
      </c>
      <c r="AR3" s="12">
        <v>200</v>
      </c>
      <c r="AS3" s="12">
        <v>200</v>
      </c>
      <c r="AT3" s="17">
        <v>200</v>
      </c>
      <c r="AU3" s="16">
        <v>200</v>
      </c>
      <c r="AV3" s="12">
        <v>200</v>
      </c>
      <c r="AW3" s="12">
        <v>200</v>
      </c>
      <c r="AX3" s="12">
        <v>200</v>
      </c>
      <c r="AY3" s="12">
        <v>200</v>
      </c>
      <c r="AZ3" s="12">
        <v>200</v>
      </c>
      <c r="BA3" s="12">
        <v>200</v>
      </c>
      <c r="BB3" s="12">
        <v>200</v>
      </c>
      <c r="BC3" s="12">
        <v>200</v>
      </c>
      <c r="BD3" s="12">
        <v>200</v>
      </c>
      <c r="BE3" s="12">
        <v>200</v>
      </c>
      <c r="BF3" s="12">
        <v>200</v>
      </c>
      <c r="BG3" s="12">
        <v>200</v>
      </c>
      <c r="BH3" s="17">
        <v>200</v>
      </c>
    </row>
    <row r="4" spans="1:88">
      <c r="A4" s="16">
        <v>2</v>
      </c>
      <c r="B4" s="13" t="s">
        <v>44</v>
      </c>
      <c r="C4" s="16">
        <v>0</v>
      </c>
      <c r="D4" s="17">
        <v>0</v>
      </c>
      <c r="E4" s="16">
        <v>-200</v>
      </c>
      <c r="F4" s="12">
        <v>-200</v>
      </c>
      <c r="G4" s="12">
        <v>-200</v>
      </c>
      <c r="H4" s="12">
        <v>-200</v>
      </c>
      <c r="I4" s="12">
        <v>-200</v>
      </c>
      <c r="J4" s="12">
        <v>-200</v>
      </c>
      <c r="K4" s="12">
        <v>-200</v>
      </c>
      <c r="L4" s="12">
        <v>-200</v>
      </c>
      <c r="M4" s="12">
        <v>-200</v>
      </c>
      <c r="N4" s="12">
        <v>-200</v>
      </c>
      <c r="O4" s="12">
        <v>-200</v>
      </c>
      <c r="P4" s="12">
        <v>-200</v>
      </c>
      <c r="Q4" s="12">
        <v>-200</v>
      </c>
      <c r="R4" s="17">
        <v>-200</v>
      </c>
      <c r="S4" s="16">
        <v>-200</v>
      </c>
      <c r="T4" s="12">
        <v>-200</v>
      </c>
      <c r="U4" s="12">
        <v>-200</v>
      </c>
      <c r="V4" s="12">
        <v>-200</v>
      </c>
      <c r="W4" s="12">
        <v>-200</v>
      </c>
      <c r="X4" s="12">
        <v>-200</v>
      </c>
      <c r="Y4" s="12">
        <v>-200</v>
      </c>
      <c r="Z4" s="12">
        <v>-200</v>
      </c>
      <c r="AA4" s="12">
        <v>-200</v>
      </c>
      <c r="AB4" s="12">
        <v>-200</v>
      </c>
      <c r="AC4" s="12">
        <v>-200</v>
      </c>
      <c r="AD4" s="12">
        <v>-200</v>
      </c>
      <c r="AE4" s="12">
        <v>-200</v>
      </c>
      <c r="AF4" s="17">
        <v>-200</v>
      </c>
      <c r="AG4" s="16">
        <v>-200</v>
      </c>
      <c r="AH4" s="12">
        <v>-200</v>
      </c>
      <c r="AI4" s="12">
        <v>-200</v>
      </c>
      <c r="AJ4" s="12">
        <v>-200</v>
      </c>
      <c r="AK4" s="12">
        <v>-200</v>
      </c>
      <c r="AL4" s="12">
        <v>-200</v>
      </c>
      <c r="AM4" s="12">
        <v>-200</v>
      </c>
      <c r="AN4" s="12">
        <v>-200</v>
      </c>
      <c r="AO4" s="12">
        <v>-200</v>
      </c>
      <c r="AP4" s="12">
        <v>-200</v>
      </c>
      <c r="AQ4" s="12">
        <v>-200</v>
      </c>
      <c r="AR4" s="12">
        <v>-200</v>
      </c>
      <c r="AS4" s="12">
        <v>-200</v>
      </c>
      <c r="AT4" s="17">
        <v>-200</v>
      </c>
      <c r="AU4" s="16">
        <v>-200</v>
      </c>
      <c r="AV4" s="12">
        <v>-200</v>
      </c>
      <c r="AW4" s="12">
        <v>-200</v>
      </c>
      <c r="AX4" s="12">
        <v>-200</v>
      </c>
      <c r="AY4" s="12">
        <v>-200</v>
      </c>
      <c r="AZ4" s="12">
        <v>-200</v>
      </c>
      <c r="BA4" s="12">
        <v>-200</v>
      </c>
      <c r="BB4" s="12">
        <v>-200</v>
      </c>
      <c r="BC4" s="12">
        <v>-200</v>
      </c>
      <c r="BD4" s="12">
        <v>-200</v>
      </c>
      <c r="BE4" s="12">
        <v>-200</v>
      </c>
      <c r="BF4" s="12">
        <v>-200</v>
      </c>
      <c r="BG4" s="12">
        <v>-200</v>
      </c>
      <c r="BH4" s="17">
        <v>-200</v>
      </c>
    </row>
    <row r="5" spans="1:88">
      <c r="A5" s="47">
        <v>3</v>
      </c>
      <c r="B5" s="48" t="s">
        <v>45</v>
      </c>
      <c r="C5" s="50">
        <v>0.05</v>
      </c>
      <c r="D5" s="51">
        <v>0.05</v>
      </c>
      <c r="E5" s="16">
        <v>25</v>
      </c>
      <c r="F5" s="12">
        <v>25</v>
      </c>
      <c r="G5" s="12">
        <v>25</v>
      </c>
      <c r="H5" s="12">
        <v>25</v>
      </c>
      <c r="I5" s="12">
        <v>50</v>
      </c>
      <c r="J5" s="12">
        <v>50</v>
      </c>
      <c r="K5" s="12">
        <v>50</v>
      </c>
      <c r="L5" s="12">
        <v>80</v>
      </c>
      <c r="M5" s="12">
        <v>80</v>
      </c>
      <c r="N5" s="12">
        <v>80</v>
      </c>
      <c r="O5" s="12">
        <v>80</v>
      </c>
      <c r="P5" s="12">
        <v>80</v>
      </c>
      <c r="Q5" s="12">
        <v>80</v>
      </c>
      <c r="R5" s="17">
        <v>80</v>
      </c>
      <c r="S5" s="16">
        <v>25</v>
      </c>
      <c r="T5" s="12">
        <v>25</v>
      </c>
      <c r="U5" s="12">
        <v>25</v>
      </c>
      <c r="V5" s="12">
        <v>25</v>
      </c>
      <c r="W5" s="12">
        <v>50</v>
      </c>
      <c r="X5" s="12">
        <v>50</v>
      </c>
      <c r="Y5" s="12">
        <v>50</v>
      </c>
      <c r="Z5" s="12">
        <v>80</v>
      </c>
      <c r="AA5" s="12">
        <v>80</v>
      </c>
      <c r="AB5" s="12">
        <v>80</v>
      </c>
      <c r="AC5" s="12">
        <v>80</v>
      </c>
      <c r="AD5" s="12">
        <v>80</v>
      </c>
      <c r="AE5" s="12">
        <v>80</v>
      </c>
      <c r="AF5" s="17">
        <v>80</v>
      </c>
      <c r="AG5" s="16">
        <v>25</v>
      </c>
      <c r="AH5" s="12">
        <v>25</v>
      </c>
      <c r="AI5" s="12">
        <v>25</v>
      </c>
      <c r="AJ5" s="12">
        <v>25</v>
      </c>
      <c r="AK5" s="12">
        <v>50</v>
      </c>
      <c r="AL5" s="12">
        <v>50</v>
      </c>
      <c r="AM5" s="12">
        <v>50</v>
      </c>
      <c r="AN5" s="12">
        <v>80</v>
      </c>
      <c r="AO5" s="12">
        <v>80</v>
      </c>
      <c r="AP5" s="12">
        <v>80</v>
      </c>
      <c r="AQ5" s="12">
        <v>80</v>
      </c>
      <c r="AR5" s="12">
        <v>80</v>
      </c>
      <c r="AS5" s="12">
        <v>80</v>
      </c>
      <c r="AT5" s="17">
        <v>80</v>
      </c>
      <c r="AU5" s="16">
        <v>25</v>
      </c>
      <c r="AV5" s="12">
        <v>25</v>
      </c>
      <c r="AW5" s="12">
        <v>25</v>
      </c>
      <c r="AX5" s="12">
        <v>25</v>
      </c>
      <c r="AY5" s="12">
        <v>50</v>
      </c>
      <c r="AZ5" s="12">
        <v>50</v>
      </c>
      <c r="BA5" s="12">
        <v>50</v>
      </c>
      <c r="BB5" s="12">
        <v>80</v>
      </c>
      <c r="BC5" s="12">
        <v>80</v>
      </c>
      <c r="BD5" s="12">
        <v>80</v>
      </c>
      <c r="BE5" s="12">
        <v>80</v>
      </c>
      <c r="BF5" s="12">
        <v>80</v>
      </c>
      <c r="BG5" s="12">
        <v>80</v>
      </c>
      <c r="BH5" s="17">
        <v>80</v>
      </c>
    </row>
    <row r="6" spans="1:88">
      <c r="A6" s="16">
        <v>4</v>
      </c>
      <c r="B6" s="13" t="s">
        <v>46</v>
      </c>
      <c r="C6" s="33">
        <v>-0.05</v>
      </c>
      <c r="D6" s="24">
        <v>-0.05</v>
      </c>
      <c r="E6" s="16">
        <v>-5</v>
      </c>
      <c r="F6" s="12">
        <v>-5</v>
      </c>
      <c r="G6" s="12">
        <v>-5</v>
      </c>
      <c r="H6" s="12">
        <v>-5</v>
      </c>
      <c r="I6" s="12">
        <v>-10</v>
      </c>
      <c r="J6" s="12">
        <v>-10</v>
      </c>
      <c r="K6" s="12">
        <v>-10</v>
      </c>
      <c r="L6" s="12">
        <v>-30</v>
      </c>
      <c r="M6" s="12">
        <v>-30</v>
      </c>
      <c r="N6" s="12">
        <v>-30</v>
      </c>
      <c r="O6" s="12">
        <v>-30</v>
      </c>
      <c r="P6" s="12">
        <v>-30</v>
      </c>
      <c r="Q6" s="12">
        <v>-30</v>
      </c>
      <c r="R6" s="17">
        <v>-30</v>
      </c>
      <c r="S6" s="16">
        <v>-5</v>
      </c>
      <c r="T6" s="12">
        <v>-5</v>
      </c>
      <c r="U6" s="12">
        <v>-5</v>
      </c>
      <c r="V6" s="12">
        <v>-5</v>
      </c>
      <c r="W6" s="12">
        <v>-10</v>
      </c>
      <c r="X6" s="12">
        <v>-10</v>
      </c>
      <c r="Y6" s="12">
        <v>-10</v>
      </c>
      <c r="Z6" s="12">
        <v>-30</v>
      </c>
      <c r="AA6" s="12">
        <v>-30</v>
      </c>
      <c r="AB6" s="12">
        <v>-30</v>
      </c>
      <c r="AC6" s="12">
        <v>-30</v>
      </c>
      <c r="AD6" s="12">
        <v>-30</v>
      </c>
      <c r="AE6" s="12">
        <v>-30</v>
      </c>
      <c r="AF6" s="17">
        <v>-30</v>
      </c>
      <c r="AG6" s="16">
        <v>-5</v>
      </c>
      <c r="AH6" s="12">
        <v>-5</v>
      </c>
      <c r="AI6" s="12">
        <v>-5</v>
      </c>
      <c r="AJ6" s="12">
        <v>-5</v>
      </c>
      <c r="AK6" s="12">
        <v>-10</v>
      </c>
      <c r="AL6" s="12">
        <v>-10</v>
      </c>
      <c r="AM6" s="12">
        <v>-10</v>
      </c>
      <c r="AN6" s="12">
        <v>-30</v>
      </c>
      <c r="AO6" s="12">
        <v>-30</v>
      </c>
      <c r="AP6" s="12">
        <v>-30</v>
      </c>
      <c r="AQ6" s="12">
        <v>-30</v>
      </c>
      <c r="AR6" s="12">
        <v>-30</v>
      </c>
      <c r="AS6" s="12">
        <v>-30</v>
      </c>
      <c r="AT6" s="17">
        <v>-30</v>
      </c>
      <c r="AU6" s="16">
        <v>-5</v>
      </c>
      <c r="AV6" s="12">
        <v>-5</v>
      </c>
      <c r="AW6" s="12">
        <v>-5</v>
      </c>
      <c r="AX6" s="12">
        <v>-5</v>
      </c>
      <c r="AY6" s="12">
        <v>-10</v>
      </c>
      <c r="AZ6" s="12">
        <v>-10</v>
      </c>
      <c r="BA6" s="12">
        <v>-10</v>
      </c>
      <c r="BB6" s="12">
        <v>-30</v>
      </c>
      <c r="BC6" s="12">
        <v>-30</v>
      </c>
      <c r="BD6" s="12">
        <v>-30</v>
      </c>
      <c r="BE6" s="12">
        <v>-30</v>
      </c>
      <c r="BF6" s="12">
        <v>-30</v>
      </c>
      <c r="BG6" s="12">
        <v>-30</v>
      </c>
      <c r="BH6" s="17">
        <v>-30</v>
      </c>
    </row>
    <row r="7" spans="1:88">
      <c r="A7" s="47">
        <v>5</v>
      </c>
      <c r="B7" s="48" t="s">
        <v>47</v>
      </c>
      <c r="C7" s="47">
        <v>0</v>
      </c>
      <c r="D7" s="49">
        <v>0</v>
      </c>
      <c r="E7" s="16">
        <v>10</v>
      </c>
      <c r="F7" s="12">
        <v>10</v>
      </c>
      <c r="G7" s="12">
        <v>10</v>
      </c>
      <c r="H7" s="12">
        <v>15</v>
      </c>
      <c r="I7" s="12">
        <v>30</v>
      </c>
      <c r="J7" s="12">
        <v>50</v>
      </c>
      <c r="K7" s="12">
        <v>100</v>
      </c>
      <c r="L7" s="12">
        <v>100</v>
      </c>
      <c r="M7" s="12">
        <v>50</v>
      </c>
      <c r="N7" s="12">
        <v>30</v>
      </c>
      <c r="O7" s="12">
        <v>15</v>
      </c>
      <c r="P7" s="12">
        <v>10</v>
      </c>
      <c r="Q7" s="12">
        <v>10</v>
      </c>
      <c r="R7" s="17">
        <v>10</v>
      </c>
      <c r="S7" s="16">
        <v>10</v>
      </c>
      <c r="T7" s="12">
        <v>10</v>
      </c>
      <c r="U7" s="12">
        <v>10</v>
      </c>
      <c r="V7" s="12">
        <v>15</v>
      </c>
      <c r="W7" s="12">
        <v>30</v>
      </c>
      <c r="X7" s="12">
        <v>50</v>
      </c>
      <c r="Y7" s="12">
        <v>100</v>
      </c>
      <c r="Z7" s="12">
        <v>100</v>
      </c>
      <c r="AA7" s="12">
        <v>50</v>
      </c>
      <c r="AB7" s="12">
        <v>30</v>
      </c>
      <c r="AC7" s="12">
        <v>15</v>
      </c>
      <c r="AD7" s="12">
        <v>10</v>
      </c>
      <c r="AE7" s="12">
        <v>10</v>
      </c>
      <c r="AF7" s="17">
        <v>10</v>
      </c>
      <c r="AG7" s="16">
        <v>10</v>
      </c>
      <c r="AH7" s="12">
        <v>10</v>
      </c>
      <c r="AI7" s="12">
        <v>10</v>
      </c>
      <c r="AJ7" s="12">
        <v>15</v>
      </c>
      <c r="AK7" s="12">
        <v>30</v>
      </c>
      <c r="AL7" s="12">
        <v>50</v>
      </c>
      <c r="AM7" s="12">
        <v>100</v>
      </c>
      <c r="AN7" s="12">
        <v>100</v>
      </c>
      <c r="AO7" s="12">
        <v>50</v>
      </c>
      <c r="AP7" s="12">
        <v>30</v>
      </c>
      <c r="AQ7" s="12">
        <v>15</v>
      </c>
      <c r="AR7" s="12">
        <v>10</v>
      </c>
      <c r="AS7" s="12">
        <v>10</v>
      </c>
      <c r="AT7" s="17">
        <v>10</v>
      </c>
      <c r="AU7" s="16">
        <v>10</v>
      </c>
      <c r="AV7" s="12">
        <v>10</v>
      </c>
      <c r="AW7" s="12">
        <v>10</v>
      </c>
      <c r="AX7" s="12">
        <v>15</v>
      </c>
      <c r="AY7" s="12">
        <v>30</v>
      </c>
      <c r="AZ7" s="12">
        <v>50</v>
      </c>
      <c r="BA7" s="12">
        <v>100</v>
      </c>
      <c r="BB7" s="12">
        <v>100</v>
      </c>
      <c r="BC7" s="12">
        <v>50</v>
      </c>
      <c r="BD7" s="12">
        <v>30</v>
      </c>
      <c r="BE7" s="12">
        <v>15</v>
      </c>
      <c r="BF7" s="12">
        <v>10</v>
      </c>
      <c r="BG7" s="12">
        <v>10</v>
      </c>
      <c r="BH7" s="17">
        <v>10</v>
      </c>
    </row>
    <row r="8" spans="1:88">
      <c r="A8" s="16">
        <v>6</v>
      </c>
      <c r="B8" s="13" t="s">
        <v>48</v>
      </c>
      <c r="C8" s="16">
        <v>0</v>
      </c>
      <c r="D8" s="17">
        <v>0</v>
      </c>
      <c r="E8" s="16">
        <v>10</v>
      </c>
      <c r="F8" s="12">
        <v>10</v>
      </c>
      <c r="G8" s="12">
        <v>10</v>
      </c>
      <c r="H8" s="12">
        <v>10</v>
      </c>
      <c r="I8" s="12">
        <v>10</v>
      </c>
      <c r="J8" s="12">
        <v>10</v>
      </c>
      <c r="K8" s="12">
        <v>10</v>
      </c>
      <c r="L8" s="12">
        <v>10</v>
      </c>
      <c r="M8" s="12">
        <v>10</v>
      </c>
      <c r="N8" s="12">
        <v>10</v>
      </c>
      <c r="O8" s="12">
        <v>10</v>
      </c>
      <c r="P8" s="12">
        <v>10</v>
      </c>
      <c r="Q8" s="12">
        <v>10</v>
      </c>
      <c r="R8" s="17">
        <v>10</v>
      </c>
      <c r="S8" s="16">
        <v>-10</v>
      </c>
      <c r="T8" s="12">
        <v>-10</v>
      </c>
      <c r="U8" s="12">
        <v>-10</v>
      </c>
      <c r="V8" s="12">
        <v>-10</v>
      </c>
      <c r="W8" s="12">
        <v>-10</v>
      </c>
      <c r="X8" s="12">
        <v>-10</v>
      </c>
      <c r="Y8" s="12">
        <v>-10</v>
      </c>
      <c r="Z8" s="12">
        <v>-10</v>
      </c>
      <c r="AA8" s="12">
        <v>-10</v>
      </c>
      <c r="AB8" s="12">
        <v>-10</v>
      </c>
      <c r="AC8" s="12">
        <v>-10</v>
      </c>
      <c r="AD8" s="12">
        <v>-10</v>
      </c>
      <c r="AE8" s="12">
        <v>-10</v>
      </c>
      <c r="AF8" s="17">
        <v>-10</v>
      </c>
      <c r="AG8" s="16">
        <v>0</v>
      </c>
      <c r="AH8" s="12">
        <v>0</v>
      </c>
      <c r="AI8" s="12">
        <v>0</v>
      </c>
      <c r="AJ8" s="12">
        <v>0</v>
      </c>
      <c r="AK8" s="12">
        <v>0</v>
      </c>
      <c r="AL8" s="12">
        <v>0</v>
      </c>
      <c r="AM8" s="12">
        <v>0</v>
      </c>
      <c r="AN8" s="12">
        <v>0</v>
      </c>
      <c r="AO8" s="12">
        <v>0</v>
      </c>
      <c r="AP8" s="12">
        <v>0</v>
      </c>
      <c r="AQ8" s="12">
        <v>0</v>
      </c>
      <c r="AR8" s="12">
        <v>0</v>
      </c>
      <c r="AS8" s="12">
        <v>0</v>
      </c>
      <c r="AT8" s="17">
        <v>0</v>
      </c>
      <c r="AU8" s="16">
        <v>0</v>
      </c>
      <c r="AV8" s="12">
        <v>0</v>
      </c>
      <c r="AW8" s="12">
        <v>0</v>
      </c>
      <c r="AX8" s="12">
        <v>0</v>
      </c>
      <c r="AY8" s="12">
        <v>0</v>
      </c>
      <c r="AZ8" s="12">
        <v>0</v>
      </c>
      <c r="BA8" s="12">
        <v>0</v>
      </c>
      <c r="BB8" s="12">
        <v>0</v>
      </c>
      <c r="BC8" s="12">
        <v>0</v>
      </c>
      <c r="BD8" s="12">
        <v>0</v>
      </c>
      <c r="BE8" s="12">
        <v>0</v>
      </c>
      <c r="BF8" s="12">
        <v>0</v>
      </c>
      <c r="BG8" s="12">
        <v>0</v>
      </c>
      <c r="BH8" s="17">
        <v>0</v>
      </c>
    </row>
    <row r="9" spans="1:88">
      <c r="A9" s="47">
        <v>7</v>
      </c>
      <c r="B9" s="48" t="s">
        <v>49</v>
      </c>
      <c r="C9" s="50">
        <v>-0.1</v>
      </c>
      <c r="D9" s="51">
        <v>0</v>
      </c>
      <c r="E9" s="16">
        <v>0</v>
      </c>
      <c r="F9" s="12">
        <v>0</v>
      </c>
      <c r="G9" s="12">
        <v>0</v>
      </c>
      <c r="H9" s="12">
        <v>0</v>
      </c>
      <c r="I9" s="12">
        <v>0</v>
      </c>
      <c r="J9" s="12">
        <v>0</v>
      </c>
      <c r="K9" s="12">
        <v>0</v>
      </c>
      <c r="L9" s="12">
        <v>0</v>
      </c>
      <c r="M9" s="12">
        <v>0</v>
      </c>
      <c r="N9" s="12">
        <v>0</v>
      </c>
      <c r="O9" s="12">
        <v>0</v>
      </c>
      <c r="P9" s="12">
        <v>0</v>
      </c>
      <c r="Q9" s="12">
        <v>0</v>
      </c>
      <c r="R9" s="17">
        <v>0</v>
      </c>
      <c r="S9" s="16">
        <v>0</v>
      </c>
      <c r="T9" s="12">
        <v>0</v>
      </c>
      <c r="U9" s="12">
        <v>0</v>
      </c>
      <c r="V9" s="12">
        <v>0</v>
      </c>
      <c r="W9" s="12">
        <v>0</v>
      </c>
      <c r="X9" s="12">
        <v>0</v>
      </c>
      <c r="Y9" s="12">
        <v>0</v>
      </c>
      <c r="Z9" s="12">
        <v>0</v>
      </c>
      <c r="AA9" s="12">
        <v>0</v>
      </c>
      <c r="AB9" s="12">
        <v>0</v>
      </c>
      <c r="AC9" s="12">
        <v>0</v>
      </c>
      <c r="AD9" s="12">
        <v>0</v>
      </c>
      <c r="AE9" s="12">
        <v>0</v>
      </c>
      <c r="AF9" s="17">
        <v>0</v>
      </c>
      <c r="AG9" s="16">
        <v>30</v>
      </c>
      <c r="AH9" s="12">
        <v>30</v>
      </c>
      <c r="AI9" s="12">
        <v>30</v>
      </c>
      <c r="AJ9" s="12">
        <v>30</v>
      </c>
      <c r="AK9" s="12">
        <v>30</v>
      </c>
      <c r="AL9" s="12">
        <v>30</v>
      </c>
      <c r="AM9" s="12">
        <v>50</v>
      </c>
      <c r="AN9" s="12">
        <v>50</v>
      </c>
      <c r="AO9" s="12">
        <v>50</v>
      </c>
      <c r="AP9" s="12">
        <v>50</v>
      </c>
      <c r="AQ9" s="12">
        <v>100</v>
      </c>
      <c r="AR9" s="12">
        <v>100</v>
      </c>
      <c r="AS9" s="12">
        <v>100</v>
      </c>
      <c r="AT9" s="17">
        <v>100</v>
      </c>
      <c r="AU9" s="16">
        <v>0</v>
      </c>
      <c r="AV9" s="12">
        <v>0</v>
      </c>
      <c r="AW9" s="12">
        <v>0</v>
      </c>
      <c r="AX9" s="12">
        <v>0</v>
      </c>
      <c r="AY9" s="12">
        <v>0</v>
      </c>
      <c r="AZ9" s="12">
        <v>0</v>
      </c>
      <c r="BA9" s="12">
        <v>0</v>
      </c>
      <c r="BB9" s="12">
        <v>0</v>
      </c>
      <c r="BC9" s="12">
        <v>0</v>
      </c>
      <c r="BD9" s="12">
        <v>0</v>
      </c>
      <c r="BE9" s="12">
        <v>0</v>
      </c>
      <c r="BF9" s="12">
        <v>0</v>
      </c>
      <c r="BG9" s="12">
        <v>0</v>
      </c>
      <c r="BH9" s="17">
        <v>0</v>
      </c>
    </row>
    <row r="10" spans="1:88">
      <c r="A10" s="16">
        <v>8</v>
      </c>
      <c r="B10" s="13" t="s">
        <v>50</v>
      </c>
      <c r="C10" s="33">
        <v>0</v>
      </c>
      <c r="D10" s="24">
        <v>-0.1</v>
      </c>
      <c r="E10" s="16">
        <v>0</v>
      </c>
      <c r="F10" s="12">
        <v>0</v>
      </c>
      <c r="G10" s="12">
        <v>0</v>
      </c>
      <c r="H10" s="12">
        <v>0</v>
      </c>
      <c r="I10" s="12">
        <v>0</v>
      </c>
      <c r="J10" s="12">
        <v>0</v>
      </c>
      <c r="K10" s="12">
        <v>0</v>
      </c>
      <c r="L10" s="12">
        <v>0</v>
      </c>
      <c r="M10" s="12">
        <v>0</v>
      </c>
      <c r="N10" s="12">
        <v>0</v>
      </c>
      <c r="O10" s="12">
        <v>0</v>
      </c>
      <c r="P10" s="12">
        <v>0</v>
      </c>
      <c r="Q10" s="12">
        <v>0</v>
      </c>
      <c r="R10" s="17">
        <v>0</v>
      </c>
      <c r="S10" s="16">
        <v>0</v>
      </c>
      <c r="T10" s="12">
        <v>0</v>
      </c>
      <c r="U10" s="12">
        <v>0</v>
      </c>
      <c r="V10" s="12">
        <v>0</v>
      </c>
      <c r="W10" s="12">
        <v>0</v>
      </c>
      <c r="X10" s="12">
        <v>0</v>
      </c>
      <c r="Y10" s="12">
        <v>0</v>
      </c>
      <c r="Z10" s="12">
        <v>0</v>
      </c>
      <c r="AA10" s="12">
        <v>0</v>
      </c>
      <c r="AB10" s="12">
        <v>0</v>
      </c>
      <c r="AC10" s="12">
        <v>0</v>
      </c>
      <c r="AD10" s="12">
        <v>0</v>
      </c>
      <c r="AE10" s="12">
        <v>0</v>
      </c>
      <c r="AF10" s="17">
        <v>0</v>
      </c>
      <c r="AG10" s="16">
        <v>0</v>
      </c>
      <c r="AH10" s="12">
        <v>0</v>
      </c>
      <c r="AI10" s="12">
        <v>0</v>
      </c>
      <c r="AJ10" s="12">
        <v>0</v>
      </c>
      <c r="AK10" s="12">
        <v>0</v>
      </c>
      <c r="AL10" s="12">
        <v>0</v>
      </c>
      <c r="AM10" s="12">
        <v>0</v>
      </c>
      <c r="AN10" s="12">
        <v>0</v>
      </c>
      <c r="AO10" s="12">
        <v>0</v>
      </c>
      <c r="AP10" s="12">
        <v>0</v>
      </c>
      <c r="AQ10" s="12">
        <v>0</v>
      </c>
      <c r="AR10" s="12">
        <v>0</v>
      </c>
      <c r="AS10" s="12">
        <v>0</v>
      </c>
      <c r="AT10" s="17">
        <v>0</v>
      </c>
      <c r="AU10" s="16">
        <v>30</v>
      </c>
      <c r="AV10" s="12">
        <v>30</v>
      </c>
      <c r="AW10" s="12">
        <v>30</v>
      </c>
      <c r="AX10" s="12">
        <v>30</v>
      </c>
      <c r="AY10" s="12">
        <v>30</v>
      </c>
      <c r="AZ10" s="12">
        <v>30</v>
      </c>
      <c r="BA10" s="12">
        <v>50</v>
      </c>
      <c r="BB10" s="12">
        <v>50</v>
      </c>
      <c r="BC10" s="12">
        <v>50</v>
      </c>
      <c r="BD10" s="12">
        <v>50</v>
      </c>
      <c r="BE10" s="12">
        <v>100</v>
      </c>
      <c r="BF10" s="12">
        <v>100</v>
      </c>
      <c r="BG10" s="12">
        <v>100</v>
      </c>
      <c r="BH10" s="17">
        <v>100</v>
      </c>
    </row>
    <row r="11" spans="1:88">
      <c r="A11" s="47">
        <v>9</v>
      </c>
      <c r="B11" s="48" t="s">
        <v>51</v>
      </c>
      <c r="C11" s="50">
        <v>0.15</v>
      </c>
      <c r="D11" s="51">
        <v>0.15</v>
      </c>
      <c r="E11" s="16">
        <v>15</v>
      </c>
      <c r="F11" s="12">
        <v>15</v>
      </c>
      <c r="G11" s="12">
        <v>15</v>
      </c>
      <c r="H11" s="12">
        <v>25</v>
      </c>
      <c r="I11" s="12">
        <v>25</v>
      </c>
      <c r="J11" s="12">
        <v>25</v>
      </c>
      <c r="K11" s="12">
        <v>75</v>
      </c>
      <c r="L11" s="12">
        <v>75</v>
      </c>
      <c r="M11" s="12">
        <v>75</v>
      </c>
      <c r="N11" s="12">
        <v>75</v>
      </c>
      <c r="O11" s="12">
        <v>75</v>
      </c>
      <c r="P11" s="12">
        <v>75</v>
      </c>
      <c r="Q11" s="12">
        <v>75</v>
      </c>
      <c r="R11" s="17">
        <v>75</v>
      </c>
      <c r="S11" s="16">
        <v>15</v>
      </c>
      <c r="T11" s="12">
        <v>15</v>
      </c>
      <c r="U11" s="12">
        <v>15</v>
      </c>
      <c r="V11" s="12">
        <v>25</v>
      </c>
      <c r="W11" s="12">
        <v>25</v>
      </c>
      <c r="X11" s="12">
        <v>25</v>
      </c>
      <c r="Y11" s="12">
        <v>75</v>
      </c>
      <c r="Z11" s="12">
        <v>75</v>
      </c>
      <c r="AA11" s="12">
        <v>75</v>
      </c>
      <c r="AB11" s="12">
        <v>75</v>
      </c>
      <c r="AC11" s="12">
        <v>75</v>
      </c>
      <c r="AD11" s="12">
        <v>75</v>
      </c>
      <c r="AE11" s="12">
        <v>75</v>
      </c>
      <c r="AF11" s="17">
        <v>75</v>
      </c>
      <c r="AG11" s="16">
        <v>0</v>
      </c>
      <c r="AH11" s="12">
        <v>0</v>
      </c>
      <c r="AI11" s="12">
        <v>0</v>
      </c>
      <c r="AJ11" s="12">
        <v>0</v>
      </c>
      <c r="AK11" s="12">
        <v>0</v>
      </c>
      <c r="AL11" s="12">
        <v>0</v>
      </c>
      <c r="AM11" s="12">
        <v>0</v>
      </c>
      <c r="AN11" s="12">
        <v>0</v>
      </c>
      <c r="AO11" s="12">
        <v>0</v>
      </c>
      <c r="AP11" s="12">
        <v>0</v>
      </c>
      <c r="AQ11" s="12">
        <v>0</v>
      </c>
      <c r="AR11" s="12">
        <v>0</v>
      </c>
      <c r="AS11" s="12">
        <v>0</v>
      </c>
      <c r="AT11" s="17">
        <v>0</v>
      </c>
      <c r="AU11" s="16">
        <v>0</v>
      </c>
      <c r="AV11" s="12">
        <v>0</v>
      </c>
      <c r="AW11" s="12">
        <v>0</v>
      </c>
      <c r="AX11" s="12">
        <v>0</v>
      </c>
      <c r="AY11" s="12">
        <v>0</v>
      </c>
      <c r="AZ11" s="12">
        <v>0</v>
      </c>
      <c r="BA11" s="12">
        <v>0</v>
      </c>
      <c r="BB11" s="12">
        <v>0</v>
      </c>
      <c r="BC11" s="12">
        <v>0</v>
      </c>
      <c r="BD11" s="12">
        <v>0</v>
      </c>
      <c r="BE11" s="12">
        <v>0</v>
      </c>
      <c r="BF11" s="12">
        <v>0</v>
      </c>
      <c r="BG11" s="12">
        <v>0</v>
      </c>
      <c r="BH11" s="17">
        <v>0</v>
      </c>
    </row>
    <row r="12" spans="1:88" ht="13.5" thickBot="1">
      <c r="A12" s="18">
        <v>10</v>
      </c>
      <c r="B12" s="32" t="s">
        <v>52</v>
      </c>
      <c r="C12" s="34">
        <v>0.1</v>
      </c>
      <c r="D12" s="25">
        <v>0.05</v>
      </c>
      <c r="E12" s="18">
        <v>50</v>
      </c>
      <c r="F12" s="19">
        <v>50</v>
      </c>
      <c r="G12" s="19">
        <v>50</v>
      </c>
      <c r="H12" s="19">
        <v>50</v>
      </c>
      <c r="I12" s="19">
        <v>50</v>
      </c>
      <c r="J12" s="19">
        <v>50</v>
      </c>
      <c r="K12" s="19">
        <v>50</v>
      </c>
      <c r="L12" s="19">
        <v>50</v>
      </c>
      <c r="M12" s="19">
        <v>50</v>
      </c>
      <c r="N12" s="19">
        <v>50</v>
      </c>
      <c r="O12" s="19">
        <v>50</v>
      </c>
      <c r="P12" s="19">
        <v>50</v>
      </c>
      <c r="Q12" s="19">
        <v>50</v>
      </c>
      <c r="R12" s="20">
        <v>50</v>
      </c>
      <c r="S12" s="18">
        <v>50</v>
      </c>
      <c r="T12" s="19">
        <v>50</v>
      </c>
      <c r="U12" s="19">
        <v>50</v>
      </c>
      <c r="V12" s="19">
        <v>50</v>
      </c>
      <c r="W12" s="19">
        <v>50</v>
      </c>
      <c r="X12" s="19">
        <v>50</v>
      </c>
      <c r="Y12" s="19">
        <v>50</v>
      </c>
      <c r="Z12" s="19">
        <v>50</v>
      </c>
      <c r="AA12" s="19">
        <v>50</v>
      </c>
      <c r="AB12" s="19">
        <v>50</v>
      </c>
      <c r="AC12" s="19">
        <v>50</v>
      </c>
      <c r="AD12" s="19">
        <v>50</v>
      </c>
      <c r="AE12" s="19">
        <v>50</v>
      </c>
      <c r="AF12" s="20">
        <v>50</v>
      </c>
      <c r="AG12" s="18">
        <v>30</v>
      </c>
      <c r="AH12" s="19">
        <v>30</v>
      </c>
      <c r="AI12" s="19">
        <v>30</v>
      </c>
      <c r="AJ12" s="19">
        <v>30</v>
      </c>
      <c r="AK12" s="19">
        <v>30</v>
      </c>
      <c r="AL12" s="19">
        <v>30</v>
      </c>
      <c r="AM12" s="19">
        <v>30</v>
      </c>
      <c r="AN12" s="19">
        <v>30</v>
      </c>
      <c r="AO12" s="19">
        <v>30</v>
      </c>
      <c r="AP12" s="19">
        <v>30</v>
      </c>
      <c r="AQ12" s="19">
        <v>30</v>
      </c>
      <c r="AR12" s="19">
        <v>30</v>
      </c>
      <c r="AS12" s="19">
        <v>30</v>
      </c>
      <c r="AT12" s="20">
        <v>30</v>
      </c>
      <c r="AU12" s="18">
        <v>40</v>
      </c>
      <c r="AV12" s="19">
        <v>40</v>
      </c>
      <c r="AW12" s="19">
        <v>40</v>
      </c>
      <c r="AX12" s="19">
        <v>40</v>
      </c>
      <c r="AY12" s="19">
        <v>40</v>
      </c>
      <c r="AZ12" s="19">
        <v>40</v>
      </c>
      <c r="BA12" s="19">
        <v>40</v>
      </c>
      <c r="BB12" s="19">
        <v>40</v>
      </c>
      <c r="BC12" s="19">
        <v>40</v>
      </c>
      <c r="BD12" s="19">
        <v>40</v>
      </c>
      <c r="BE12" s="19">
        <v>40</v>
      </c>
      <c r="BF12" s="19">
        <v>40</v>
      </c>
      <c r="BG12" s="19">
        <v>40</v>
      </c>
      <c r="BH12" s="20">
        <v>40</v>
      </c>
    </row>
    <row r="15" spans="1:88" customFormat="1">
      <c r="A15" s="114" t="s">
        <v>53</v>
      </c>
      <c r="B15" s="114"/>
      <c r="C15" s="52"/>
      <c r="D15" s="52"/>
      <c r="E15" s="52"/>
      <c r="F15" s="52"/>
      <c r="G15" s="52"/>
      <c r="H15" s="52"/>
      <c r="I15" s="52"/>
      <c r="J15" s="52"/>
      <c r="K15" s="52"/>
      <c r="L15" s="52"/>
      <c r="M15" s="52"/>
      <c r="N15" s="52"/>
      <c r="O15" s="52"/>
      <c r="P15" s="52"/>
      <c r="Q15" s="52"/>
      <c r="R15" s="52"/>
      <c r="S15" s="52"/>
      <c r="T15" s="52"/>
      <c r="U15" s="52"/>
      <c r="V15" s="52"/>
      <c r="W15" s="52"/>
      <c r="X15" s="52"/>
      <c r="Y15" s="52"/>
      <c r="Z15" s="52"/>
      <c r="AA15" s="52"/>
      <c r="AB15" s="52"/>
      <c r="AC15" s="52"/>
      <c r="AD15" s="52"/>
      <c r="AE15" s="52"/>
      <c r="AF15" s="52"/>
      <c r="AG15" s="52"/>
      <c r="AH15" s="52"/>
      <c r="AI15" s="52"/>
      <c r="AJ15" s="52"/>
      <c r="AK15" s="52"/>
      <c r="AL15" s="52"/>
      <c r="AM15" s="52"/>
      <c r="AN15" s="52"/>
      <c r="AO15" s="52"/>
      <c r="AP15" s="52"/>
      <c r="AQ15" s="52"/>
      <c r="AR15" s="52"/>
      <c r="AS15" s="52"/>
      <c r="AT15" s="52"/>
      <c r="AU15" s="52"/>
      <c r="AV15" s="52"/>
      <c r="AW15" s="52"/>
      <c r="AX15" s="52"/>
      <c r="AY15" s="52"/>
      <c r="AZ15" s="52"/>
      <c r="BA15" s="52"/>
      <c r="BB15" s="52"/>
      <c r="BC15" s="52"/>
      <c r="BD15" s="52"/>
      <c r="BE15" s="52"/>
      <c r="BF15" s="52"/>
      <c r="BG15" s="52"/>
      <c r="BH15" s="52"/>
    </row>
    <row r="16" spans="1:88" customFormat="1" ht="13.5" thickBot="1"/>
    <row r="17" spans="1:60">
      <c r="A17" s="37">
        <f t="shared" ref="A17:A26" si="0">A3</f>
        <v>1</v>
      </c>
      <c r="B17" s="40">
        <f t="shared" ref="B17:B26" si="1">SUM(C17:BH17)</f>
        <v>0</v>
      </c>
      <c r="C17" s="38">
        <f t="shared" ref="C17:AH17" si="2">C3*C$15</f>
        <v>0</v>
      </c>
      <c r="D17" s="38">
        <f t="shared" si="2"/>
        <v>0</v>
      </c>
      <c r="E17" s="37">
        <f t="shared" si="2"/>
        <v>0</v>
      </c>
      <c r="F17" s="38">
        <f t="shared" si="2"/>
        <v>0</v>
      </c>
      <c r="G17" s="38">
        <f t="shared" si="2"/>
        <v>0</v>
      </c>
      <c r="H17" s="38">
        <f t="shared" si="2"/>
        <v>0</v>
      </c>
      <c r="I17" s="38">
        <f t="shared" si="2"/>
        <v>0</v>
      </c>
      <c r="J17" s="38">
        <f t="shared" si="2"/>
        <v>0</v>
      </c>
      <c r="K17" s="38">
        <f t="shared" si="2"/>
        <v>0</v>
      </c>
      <c r="L17" s="38">
        <f t="shared" si="2"/>
        <v>0</v>
      </c>
      <c r="M17" s="38">
        <f t="shared" si="2"/>
        <v>0</v>
      </c>
      <c r="N17" s="38">
        <f t="shared" si="2"/>
        <v>0</v>
      </c>
      <c r="O17" s="38">
        <f t="shared" si="2"/>
        <v>0</v>
      </c>
      <c r="P17" s="38">
        <f t="shared" si="2"/>
        <v>0</v>
      </c>
      <c r="Q17" s="38">
        <f t="shared" si="2"/>
        <v>0</v>
      </c>
      <c r="R17" s="39">
        <f t="shared" si="2"/>
        <v>0</v>
      </c>
      <c r="S17" s="37">
        <f t="shared" si="2"/>
        <v>0</v>
      </c>
      <c r="T17" s="38">
        <f t="shared" si="2"/>
        <v>0</v>
      </c>
      <c r="U17" s="38">
        <f t="shared" si="2"/>
        <v>0</v>
      </c>
      <c r="V17" s="38">
        <f t="shared" si="2"/>
        <v>0</v>
      </c>
      <c r="W17" s="38">
        <f t="shared" si="2"/>
        <v>0</v>
      </c>
      <c r="X17" s="38">
        <f t="shared" si="2"/>
        <v>0</v>
      </c>
      <c r="Y17" s="38">
        <f t="shared" si="2"/>
        <v>0</v>
      </c>
      <c r="Z17" s="38">
        <f t="shared" si="2"/>
        <v>0</v>
      </c>
      <c r="AA17" s="38">
        <f t="shared" si="2"/>
        <v>0</v>
      </c>
      <c r="AB17" s="38">
        <f t="shared" si="2"/>
        <v>0</v>
      </c>
      <c r="AC17" s="38">
        <f t="shared" si="2"/>
        <v>0</v>
      </c>
      <c r="AD17" s="38">
        <f t="shared" si="2"/>
        <v>0</v>
      </c>
      <c r="AE17" s="38">
        <f t="shared" si="2"/>
        <v>0</v>
      </c>
      <c r="AF17" s="39">
        <f t="shared" si="2"/>
        <v>0</v>
      </c>
      <c r="AG17" s="37">
        <f t="shared" si="2"/>
        <v>0</v>
      </c>
      <c r="AH17" s="38">
        <f t="shared" si="2"/>
        <v>0</v>
      </c>
      <c r="AI17" s="38">
        <f t="shared" ref="AI17:BH17" si="3">AI3*AI$15</f>
        <v>0</v>
      </c>
      <c r="AJ17" s="38">
        <f t="shared" si="3"/>
        <v>0</v>
      </c>
      <c r="AK17" s="38">
        <f t="shared" si="3"/>
        <v>0</v>
      </c>
      <c r="AL17" s="38">
        <f t="shared" si="3"/>
        <v>0</v>
      </c>
      <c r="AM17" s="38">
        <f t="shared" si="3"/>
        <v>0</v>
      </c>
      <c r="AN17" s="38">
        <f t="shared" si="3"/>
        <v>0</v>
      </c>
      <c r="AO17" s="38">
        <f t="shared" si="3"/>
        <v>0</v>
      </c>
      <c r="AP17" s="38">
        <f t="shared" si="3"/>
        <v>0</v>
      </c>
      <c r="AQ17" s="38">
        <f t="shared" si="3"/>
        <v>0</v>
      </c>
      <c r="AR17" s="38">
        <f t="shared" si="3"/>
        <v>0</v>
      </c>
      <c r="AS17" s="38">
        <f t="shared" si="3"/>
        <v>0</v>
      </c>
      <c r="AT17" s="39">
        <f t="shared" si="3"/>
        <v>0</v>
      </c>
      <c r="AU17" s="38">
        <f t="shared" si="3"/>
        <v>0</v>
      </c>
      <c r="AV17" s="38">
        <f t="shared" si="3"/>
        <v>0</v>
      </c>
      <c r="AW17" s="38">
        <f t="shared" si="3"/>
        <v>0</v>
      </c>
      <c r="AX17" s="38">
        <f t="shared" si="3"/>
        <v>0</v>
      </c>
      <c r="AY17" s="38">
        <f t="shared" si="3"/>
        <v>0</v>
      </c>
      <c r="AZ17" s="38">
        <f t="shared" si="3"/>
        <v>0</v>
      </c>
      <c r="BA17" s="38">
        <f t="shared" si="3"/>
        <v>0</v>
      </c>
      <c r="BB17" s="38">
        <f t="shared" si="3"/>
        <v>0</v>
      </c>
      <c r="BC17" s="38">
        <f t="shared" si="3"/>
        <v>0</v>
      </c>
      <c r="BD17" s="38">
        <f t="shared" si="3"/>
        <v>0</v>
      </c>
      <c r="BE17" s="38">
        <f t="shared" si="3"/>
        <v>0</v>
      </c>
      <c r="BF17" s="38">
        <f t="shared" si="3"/>
        <v>0</v>
      </c>
      <c r="BG17" s="38">
        <f t="shared" si="3"/>
        <v>0</v>
      </c>
      <c r="BH17" s="39">
        <f t="shared" si="3"/>
        <v>0</v>
      </c>
    </row>
    <row r="18" spans="1:60" customFormat="1">
      <c r="A18" s="35">
        <f t="shared" si="0"/>
        <v>2</v>
      </c>
      <c r="B18" s="41">
        <f t="shared" si="1"/>
        <v>0</v>
      </c>
      <c r="C18" s="1">
        <f t="shared" ref="C18:AH18" si="4">C4*C$15</f>
        <v>0</v>
      </c>
      <c r="D18" s="1">
        <f t="shared" si="4"/>
        <v>0</v>
      </c>
      <c r="E18" s="35">
        <f t="shared" si="4"/>
        <v>0</v>
      </c>
      <c r="F18" s="1">
        <f t="shared" si="4"/>
        <v>0</v>
      </c>
      <c r="G18" s="1">
        <f t="shared" si="4"/>
        <v>0</v>
      </c>
      <c r="H18" s="1">
        <f t="shared" si="4"/>
        <v>0</v>
      </c>
      <c r="I18" s="1">
        <f t="shared" si="4"/>
        <v>0</v>
      </c>
      <c r="J18" s="1">
        <f t="shared" si="4"/>
        <v>0</v>
      </c>
      <c r="K18" s="1">
        <f t="shared" si="4"/>
        <v>0</v>
      </c>
      <c r="L18" s="1">
        <f t="shared" si="4"/>
        <v>0</v>
      </c>
      <c r="M18" s="1">
        <f t="shared" si="4"/>
        <v>0</v>
      </c>
      <c r="N18" s="1">
        <f t="shared" si="4"/>
        <v>0</v>
      </c>
      <c r="O18" s="1">
        <f t="shared" si="4"/>
        <v>0</v>
      </c>
      <c r="P18" s="1">
        <f t="shared" si="4"/>
        <v>0</v>
      </c>
      <c r="Q18" s="1">
        <f t="shared" si="4"/>
        <v>0</v>
      </c>
      <c r="R18" s="2">
        <f t="shared" si="4"/>
        <v>0</v>
      </c>
      <c r="S18" s="35">
        <f t="shared" si="4"/>
        <v>0</v>
      </c>
      <c r="T18" s="1">
        <f t="shared" si="4"/>
        <v>0</v>
      </c>
      <c r="U18" s="1">
        <f t="shared" si="4"/>
        <v>0</v>
      </c>
      <c r="V18" s="1">
        <f t="shared" si="4"/>
        <v>0</v>
      </c>
      <c r="W18" s="1">
        <f t="shared" si="4"/>
        <v>0</v>
      </c>
      <c r="X18" s="1">
        <f t="shared" si="4"/>
        <v>0</v>
      </c>
      <c r="Y18" s="1">
        <f t="shared" si="4"/>
        <v>0</v>
      </c>
      <c r="Z18" s="1">
        <f t="shared" si="4"/>
        <v>0</v>
      </c>
      <c r="AA18" s="1">
        <f t="shared" si="4"/>
        <v>0</v>
      </c>
      <c r="AB18" s="1">
        <f t="shared" si="4"/>
        <v>0</v>
      </c>
      <c r="AC18" s="1">
        <f t="shared" si="4"/>
        <v>0</v>
      </c>
      <c r="AD18" s="1">
        <f t="shared" si="4"/>
        <v>0</v>
      </c>
      <c r="AE18" s="1">
        <f t="shared" si="4"/>
        <v>0</v>
      </c>
      <c r="AF18" s="2">
        <f t="shared" si="4"/>
        <v>0</v>
      </c>
      <c r="AG18" s="35">
        <f t="shared" si="4"/>
        <v>0</v>
      </c>
      <c r="AH18" s="1">
        <f t="shared" si="4"/>
        <v>0</v>
      </c>
      <c r="AI18" s="1">
        <f t="shared" ref="AI18:BH18" si="5">AI4*AI$15</f>
        <v>0</v>
      </c>
      <c r="AJ18" s="1">
        <f t="shared" si="5"/>
        <v>0</v>
      </c>
      <c r="AK18" s="1">
        <f t="shared" si="5"/>
        <v>0</v>
      </c>
      <c r="AL18" s="1">
        <f t="shared" si="5"/>
        <v>0</v>
      </c>
      <c r="AM18" s="1">
        <f t="shared" si="5"/>
        <v>0</v>
      </c>
      <c r="AN18" s="1">
        <f t="shared" si="5"/>
        <v>0</v>
      </c>
      <c r="AO18" s="1">
        <f t="shared" si="5"/>
        <v>0</v>
      </c>
      <c r="AP18" s="1">
        <f t="shared" si="5"/>
        <v>0</v>
      </c>
      <c r="AQ18" s="1">
        <f t="shared" si="5"/>
        <v>0</v>
      </c>
      <c r="AR18" s="1">
        <f t="shared" si="5"/>
        <v>0</v>
      </c>
      <c r="AS18" s="1">
        <f t="shared" si="5"/>
        <v>0</v>
      </c>
      <c r="AT18" s="2">
        <f t="shared" si="5"/>
        <v>0</v>
      </c>
      <c r="AU18" s="1">
        <f t="shared" si="5"/>
        <v>0</v>
      </c>
      <c r="AV18" s="1">
        <f t="shared" si="5"/>
        <v>0</v>
      </c>
      <c r="AW18" s="1">
        <f t="shared" si="5"/>
        <v>0</v>
      </c>
      <c r="AX18" s="1">
        <f t="shared" si="5"/>
        <v>0</v>
      </c>
      <c r="AY18" s="1">
        <f t="shared" si="5"/>
        <v>0</v>
      </c>
      <c r="AZ18" s="1">
        <f t="shared" si="5"/>
        <v>0</v>
      </c>
      <c r="BA18" s="1">
        <f t="shared" si="5"/>
        <v>0</v>
      </c>
      <c r="BB18" s="1">
        <f t="shared" si="5"/>
        <v>0</v>
      </c>
      <c r="BC18" s="1">
        <f t="shared" si="5"/>
        <v>0</v>
      </c>
      <c r="BD18" s="1">
        <f t="shared" si="5"/>
        <v>0</v>
      </c>
      <c r="BE18" s="1">
        <f t="shared" si="5"/>
        <v>0</v>
      </c>
      <c r="BF18" s="1">
        <f t="shared" si="5"/>
        <v>0</v>
      </c>
      <c r="BG18" s="1">
        <f t="shared" si="5"/>
        <v>0</v>
      </c>
      <c r="BH18" s="2">
        <f t="shared" si="5"/>
        <v>0</v>
      </c>
    </row>
    <row r="19" spans="1:60" customFormat="1">
      <c r="A19" s="43">
        <f t="shared" si="0"/>
        <v>3</v>
      </c>
      <c r="B19" s="44">
        <f t="shared" si="1"/>
        <v>0</v>
      </c>
      <c r="C19" s="45">
        <f t="shared" ref="C19:AH19" si="6">C5*C$15</f>
        <v>0</v>
      </c>
      <c r="D19" s="45">
        <f t="shared" si="6"/>
        <v>0</v>
      </c>
      <c r="E19" s="43">
        <f t="shared" si="6"/>
        <v>0</v>
      </c>
      <c r="F19" s="45">
        <f t="shared" si="6"/>
        <v>0</v>
      </c>
      <c r="G19" s="45">
        <f t="shared" si="6"/>
        <v>0</v>
      </c>
      <c r="H19" s="45">
        <f t="shared" si="6"/>
        <v>0</v>
      </c>
      <c r="I19" s="45">
        <f t="shared" si="6"/>
        <v>0</v>
      </c>
      <c r="J19" s="45">
        <f t="shared" si="6"/>
        <v>0</v>
      </c>
      <c r="K19" s="45">
        <f t="shared" si="6"/>
        <v>0</v>
      </c>
      <c r="L19" s="45">
        <f t="shared" si="6"/>
        <v>0</v>
      </c>
      <c r="M19" s="45">
        <f t="shared" si="6"/>
        <v>0</v>
      </c>
      <c r="N19" s="45">
        <f t="shared" si="6"/>
        <v>0</v>
      </c>
      <c r="O19" s="45">
        <f t="shared" si="6"/>
        <v>0</v>
      </c>
      <c r="P19" s="45">
        <f t="shared" si="6"/>
        <v>0</v>
      </c>
      <c r="Q19" s="45">
        <f t="shared" si="6"/>
        <v>0</v>
      </c>
      <c r="R19" s="46">
        <f t="shared" si="6"/>
        <v>0</v>
      </c>
      <c r="S19" s="43">
        <f t="shared" si="6"/>
        <v>0</v>
      </c>
      <c r="T19" s="45">
        <f t="shared" si="6"/>
        <v>0</v>
      </c>
      <c r="U19" s="45">
        <f t="shared" si="6"/>
        <v>0</v>
      </c>
      <c r="V19" s="45">
        <f t="shared" si="6"/>
        <v>0</v>
      </c>
      <c r="W19" s="45">
        <f t="shared" si="6"/>
        <v>0</v>
      </c>
      <c r="X19" s="45">
        <f t="shared" si="6"/>
        <v>0</v>
      </c>
      <c r="Y19" s="45">
        <f t="shared" si="6"/>
        <v>0</v>
      </c>
      <c r="Z19" s="45">
        <f t="shared" si="6"/>
        <v>0</v>
      </c>
      <c r="AA19" s="45">
        <f t="shared" si="6"/>
        <v>0</v>
      </c>
      <c r="AB19" s="45">
        <f t="shared" si="6"/>
        <v>0</v>
      </c>
      <c r="AC19" s="45">
        <f t="shared" si="6"/>
        <v>0</v>
      </c>
      <c r="AD19" s="45">
        <f t="shared" si="6"/>
        <v>0</v>
      </c>
      <c r="AE19" s="45">
        <f t="shared" si="6"/>
        <v>0</v>
      </c>
      <c r="AF19" s="46">
        <f t="shared" si="6"/>
        <v>0</v>
      </c>
      <c r="AG19" s="43">
        <f t="shared" si="6"/>
        <v>0</v>
      </c>
      <c r="AH19" s="45">
        <f t="shared" si="6"/>
        <v>0</v>
      </c>
      <c r="AI19" s="45">
        <f t="shared" ref="AI19:BH19" si="7">AI5*AI$15</f>
        <v>0</v>
      </c>
      <c r="AJ19" s="45">
        <f t="shared" si="7"/>
        <v>0</v>
      </c>
      <c r="AK19" s="45">
        <f t="shared" si="7"/>
        <v>0</v>
      </c>
      <c r="AL19" s="45">
        <f t="shared" si="7"/>
        <v>0</v>
      </c>
      <c r="AM19" s="45">
        <f t="shared" si="7"/>
        <v>0</v>
      </c>
      <c r="AN19" s="45">
        <f t="shared" si="7"/>
        <v>0</v>
      </c>
      <c r="AO19" s="45">
        <f t="shared" si="7"/>
        <v>0</v>
      </c>
      <c r="AP19" s="45">
        <f t="shared" si="7"/>
        <v>0</v>
      </c>
      <c r="AQ19" s="45">
        <f t="shared" si="7"/>
        <v>0</v>
      </c>
      <c r="AR19" s="45">
        <f t="shared" si="7"/>
        <v>0</v>
      </c>
      <c r="AS19" s="45">
        <f t="shared" si="7"/>
        <v>0</v>
      </c>
      <c r="AT19" s="46">
        <f t="shared" si="7"/>
        <v>0</v>
      </c>
      <c r="AU19" s="45">
        <f t="shared" si="7"/>
        <v>0</v>
      </c>
      <c r="AV19" s="45">
        <f t="shared" si="7"/>
        <v>0</v>
      </c>
      <c r="AW19" s="45">
        <f t="shared" si="7"/>
        <v>0</v>
      </c>
      <c r="AX19" s="45">
        <f t="shared" si="7"/>
        <v>0</v>
      </c>
      <c r="AY19" s="45">
        <f t="shared" si="7"/>
        <v>0</v>
      </c>
      <c r="AZ19" s="45">
        <f t="shared" si="7"/>
        <v>0</v>
      </c>
      <c r="BA19" s="45">
        <f t="shared" si="7"/>
        <v>0</v>
      </c>
      <c r="BB19" s="45">
        <f t="shared" si="7"/>
        <v>0</v>
      </c>
      <c r="BC19" s="45">
        <f t="shared" si="7"/>
        <v>0</v>
      </c>
      <c r="BD19" s="45">
        <f t="shared" si="7"/>
        <v>0</v>
      </c>
      <c r="BE19" s="45">
        <f t="shared" si="7"/>
        <v>0</v>
      </c>
      <c r="BF19" s="45">
        <f t="shared" si="7"/>
        <v>0</v>
      </c>
      <c r="BG19" s="45">
        <f t="shared" si="7"/>
        <v>0</v>
      </c>
      <c r="BH19" s="46">
        <f t="shared" si="7"/>
        <v>0</v>
      </c>
    </row>
    <row r="20" spans="1:60" customFormat="1">
      <c r="A20" s="35">
        <f t="shared" si="0"/>
        <v>4</v>
      </c>
      <c r="B20" s="41">
        <f t="shared" si="1"/>
        <v>0</v>
      </c>
      <c r="C20" s="1">
        <f t="shared" ref="C20:AH20" si="8">C6*C$15</f>
        <v>0</v>
      </c>
      <c r="D20" s="1">
        <f t="shared" si="8"/>
        <v>0</v>
      </c>
      <c r="E20" s="35">
        <f t="shared" si="8"/>
        <v>0</v>
      </c>
      <c r="F20" s="1">
        <f t="shared" si="8"/>
        <v>0</v>
      </c>
      <c r="G20" s="1">
        <f t="shared" si="8"/>
        <v>0</v>
      </c>
      <c r="H20" s="1">
        <f t="shared" si="8"/>
        <v>0</v>
      </c>
      <c r="I20" s="1">
        <f t="shared" si="8"/>
        <v>0</v>
      </c>
      <c r="J20" s="1">
        <f t="shared" si="8"/>
        <v>0</v>
      </c>
      <c r="K20" s="1">
        <f t="shared" si="8"/>
        <v>0</v>
      </c>
      <c r="L20" s="1">
        <f t="shared" si="8"/>
        <v>0</v>
      </c>
      <c r="M20" s="1">
        <f t="shared" si="8"/>
        <v>0</v>
      </c>
      <c r="N20" s="1">
        <f t="shared" si="8"/>
        <v>0</v>
      </c>
      <c r="O20" s="1">
        <f t="shared" si="8"/>
        <v>0</v>
      </c>
      <c r="P20" s="1">
        <f t="shared" si="8"/>
        <v>0</v>
      </c>
      <c r="Q20" s="1">
        <f t="shared" si="8"/>
        <v>0</v>
      </c>
      <c r="R20" s="2">
        <f t="shared" si="8"/>
        <v>0</v>
      </c>
      <c r="S20" s="35">
        <f t="shared" si="8"/>
        <v>0</v>
      </c>
      <c r="T20" s="1">
        <f t="shared" si="8"/>
        <v>0</v>
      </c>
      <c r="U20" s="1">
        <f t="shared" si="8"/>
        <v>0</v>
      </c>
      <c r="V20" s="1">
        <f t="shared" si="8"/>
        <v>0</v>
      </c>
      <c r="W20" s="1">
        <f t="shared" si="8"/>
        <v>0</v>
      </c>
      <c r="X20" s="1">
        <f t="shared" si="8"/>
        <v>0</v>
      </c>
      <c r="Y20" s="1">
        <f t="shared" si="8"/>
        <v>0</v>
      </c>
      <c r="Z20" s="1">
        <f t="shared" si="8"/>
        <v>0</v>
      </c>
      <c r="AA20" s="1">
        <f t="shared" si="8"/>
        <v>0</v>
      </c>
      <c r="AB20" s="1">
        <f t="shared" si="8"/>
        <v>0</v>
      </c>
      <c r="AC20" s="1">
        <f t="shared" si="8"/>
        <v>0</v>
      </c>
      <c r="AD20" s="1">
        <f t="shared" si="8"/>
        <v>0</v>
      </c>
      <c r="AE20" s="1">
        <f t="shared" si="8"/>
        <v>0</v>
      </c>
      <c r="AF20" s="2">
        <f t="shared" si="8"/>
        <v>0</v>
      </c>
      <c r="AG20" s="35">
        <f t="shared" si="8"/>
        <v>0</v>
      </c>
      <c r="AH20" s="1">
        <f t="shared" si="8"/>
        <v>0</v>
      </c>
      <c r="AI20" s="1">
        <f t="shared" ref="AI20:BH20" si="9">AI6*AI$15</f>
        <v>0</v>
      </c>
      <c r="AJ20" s="1">
        <f t="shared" si="9"/>
        <v>0</v>
      </c>
      <c r="AK20" s="1">
        <f t="shared" si="9"/>
        <v>0</v>
      </c>
      <c r="AL20" s="1">
        <f t="shared" si="9"/>
        <v>0</v>
      </c>
      <c r="AM20" s="1">
        <f t="shared" si="9"/>
        <v>0</v>
      </c>
      <c r="AN20" s="1">
        <f t="shared" si="9"/>
        <v>0</v>
      </c>
      <c r="AO20" s="1">
        <f t="shared" si="9"/>
        <v>0</v>
      </c>
      <c r="AP20" s="1">
        <f t="shared" si="9"/>
        <v>0</v>
      </c>
      <c r="AQ20" s="1">
        <f t="shared" si="9"/>
        <v>0</v>
      </c>
      <c r="AR20" s="1">
        <f t="shared" si="9"/>
        <v>0</v>
      </c>
      <c r="AS20" s="1">
        <f t="shared" si="9"/>
        <v>0</v>
      </c>
      <c r="AT20" s="2">
        <f t="shared" si="9"/>
        <v>0</v>
      </c>
      <c r="AU20" s="1">
        <f t="shared" si="9"/>
        <v>0</v>
      </c>
      <c r="AV20" s="1">
        <f t="shared" si="9"/>
        <v>0</v>
      </c>
      <c r="AW20" s="1">
        <f t="shared" si="9"/>
        <v>0</v>
      </c>
      <c r="AX20" s="1">
        <f t="shared" si="9"/>
        <v>0</v>
      </c>
      <c r="AY20" s="1">
        <f t="shared" si="9"/>
        <v>0</v>
      </c>
      <c r="AZ20" s="1">
        <f t="shared" si="9"/>
        <v>0</v>
      </c>
      <c r="BA20" s="1">
        <f t="shared" si="9"/>
        <v>0</v>
      </c>
      <c r="BB20" s="1">
        <f t="shared" si="9"/>
        <v>0</v>
      </c>
      <c r="BC20" s="1">
        <f t="shared" si="9"/>
        <v>0</v>
      </c>
      <c r="BD20" s="1">
        <f t="shared" si="9"/>
        <v>0</v>
      </c>
      <c r="BE20" s="1">
        <f t="shared" si="9"/>
        <v>0</v>
      </c>
      <c r="BF20" s="1">
        <f t="shared" si="9"/>
        <v>0</v>
      </c>
      <c r="BG20" s="1">
        <f t="shared" si="9"/>
        <v>0</v>
      </c>
      <c r="BH20" s="2">
        <f t="shared" si="9"/>
        <v>0</v>
      </c>
    </row>
    <row r="21" spans="1:60" customFormat="1">
      <c r="A21" s="43">
        <f t="shared" si="0"/>
        <v>5</v>
      </c>
      <c r="B21" s="44">
        <f t="shared" si="1"/>
        <v>0</v>
      </c>
      <c r="C21" s="45">
        <f t="shared" ref="C21:AH21" si="10">C7*C$15</f>
        <v>0</v>
      </c>
      <c r="D21" s="45">
        <f t="shared" si="10"/>
        <v>0</v>
      </c>
      <c r="E21" s="43">
        <f t="shared" si="10"/>
        <v>0</v>
      </c>
      <c r="F21" s="45">
        <f t="shared" si="10"/>
        <v>0</v>
      </c>
      <c r="G21" s="45">
        <f t="shared" si="10"/>
        <v>0</v>
      </c>
      <c r="H21" s="45">
        <f t="shared" si="10"/>
        <v>0</v>
      </c>
      <c r="I21" s="45">
        <f t="shared" si="10"/>
        <v>0</v>
      </c>
      <c r="J21" s="45">
        <f t="shared" si="10"/>
        <v>0</v>
      </c>
      <c r="K21" s="45">
        <f t="shared" si="10"/>
        <v>0</v>
      </c>
      <c r="L21" s="45">
        <f t="shared" si="10"/>
        <v>0</v>
      </c>
      <c r="M21" s="45">
        <f t="shared" si="10"/>
        <v>0</v>
      </c>
      <c r="N21" s="45">
        <f t="shared" si="10"/>
        <v>0</v>
      </c>
      <c r="O21" s="45">
        <f t="shared" si="10"/>
        <v>0</v>
      </c>
      <c r="P21" s="45">
        <f t="shared" si="10"/>
        <v>0</v>
      </c>
      <c r="Q21" s="45">
        <f t="shared" si="10"/>
        <v>0</v>
      </c>
      <c r="R21" s="46">
        <f t="shared" si="10"/>
        <v>0</v>
      </c>
      <c r="S21" s="43">
        <f t="shared" si="10"/>
        <v>0</v>
      </c>
      <c r="T21" s="45">
        <f t="shared" si="10"/>
        <v>0</v>
      </c>
      <c r="U21" s="45">
        <f t="shared" si="10"/>
        <v>0</v>
      </c>
      <c r="V21" s="45">
        <f t="shared" si="10"/>
        <v>0</v>
      </c>
      <c r="W21" s="45">
        <f t="shared" si="10"/>
        <v>0</v>
      </c>
      <c r="X21" s="45">
        <f t="shared" si="10"/>
        <v>0</v>
      </c>
      <c r="Y21" s="45">
        <f t="shared" si="10"/>
        <v>0</v>
      </c>
      <c r="Z21" s="45">
        <f t="shared" si="10"/>
        <v>0</v>
      </c>
      <c r="AA21" s="45">
        <f t="shared" si="10"/>
        <v>0</v>
      </c>
      <c r="AB21" s="45">
        <f t="shared" si="10"/>
        <v>0</v>
      </c>
      <c r="AC21" s="45">
        <f t="shared" si="10"/>
        <v>0</v>
      </c>
      <c r="AD21" s="45">
        <f t="shared" si="10"/>
        <v>0</v>
      </c>
      <c r="AE21" s="45">
        <f t="shared" si="10"/>
        <v>0</v>
      </c>
      <c r="AF21" s="46">
        <f t="shared" si="10"/>
        <v>0</v>
      </c>
      <c r="AG21" s="43">
        <f t="shared" si="10"/>
        <v>0</v>
      </c>
      <c r="AH21" s="45">
        <f t="shared" si="10"/>
        <v>0</v>
      </c>
      <c r="AI21" s="45">
        <f t="shared" ref="AI21:BH21" si="11">AI7*AI$15</f>
        <v>0</v>
      </c>
      <c r="AJ21" s="45">
        <f t="shared" si="11"/>
        <v>0</v>
      </c>
      <c r="AK21" s="45">
        <f t="shared" si="11"/>
        <v>0</v>
      </c>
      <c r="AL21" s="45">
        <f t="shared" si="11"/>
        <v>0</v>
      </c>
      <c r="AM21" s="45">
        <f t="shared" si="11"/>
        <v>0</v>
      </c>
      <c r="AN21" s="45">
        <f t="shared" si="11"/>
        <v>0</v>
      </c>
      <c r="AO21" s="45">
        <f t="shared" si="11"/>
        <v>0</v>
      </c>
      <c r="AP21" s="45">
        <f t="shared" si="11"/>
        <v>0</v>
      </c>
      <c r="AQ21" s="45">
        <f t="shared" si="11"/>
        <v>0</v>
      </c>
      <c r="AR21" s="45">
        <f t="shared" si="11"/>
        <v>0</v>
      </c>
      <c r="AS21" s="45">
        <f t="shared" si="11"/>
        <v>0</v>
      </c>
      <c r="AT21" s="46">
        <f t="shared" si="11"/>
        <v>0</v>
      </c>
      <c r="AU21" s="45">
        <f t="shared" si="11"/>
        <v>0</v>
      </c>
      <c r="AV21" s="45">
        <f t="shared" si="11"/>
        <v>0</v>
      </c>
      <c r="AW21" s="45">
        <f t="shared" si="11"/>
        <v>0</v>
      </c>
      <c r="AX21" s="45">
        <f t="shared" si="11"/>
        <v>0</v>
      </c>
      <c r="AY21" s="45">
        <f t="shared" si="11"/>
        <v>0</v>
      </c>
      <c r="AZ21" s="45">
        <f t="shared" si="11"/>
        <v>0</v>
      </c>
      <c r="BA21" s="45">
        <f t="shared" si="11"/>
        <v>0</v>
      </c>
      <c r="BB21" s="45">
        <f t="shared" si="11"/>
        <v>0</v>
      </c>
      <c r="BC21" s="45">
        <f t="shared" si="11"/>
        <v>0</v>
      </c>
      <c r="BD21" s="45">
        <f t="shared" si="11"/>
        <v>0</v>
      </c>
      <c r="BE21" s="45">
        <f t="shared" si="11"/>
        <v>0</v>
      </c>
      <c r="BF21" s="45">
        <f t="shared" si="11"/>
        <v>0</v>
      </c>
      <c r="BG21" s="45">
        <f t="shared" si="11"/>
        <v>0</v>
      </c>
      <c r="BH21" s="46">
        <f t="shared" si="11"/>
        <v>0</v>
      </c>
    </row>
    <row r="22" spans="1:60" customFormat="1">
      <c r="A22" s="35">
        <f t="shared" si="0"/>
        <v>6</v>
      </c>
      <c r="B22" s="41">
        <f t="shared" si="1"/>
        <v>0</v>
      </c>
      <c r="C22" s="1">
        <f t="shared" ref="C22:AH22" si="12">C8*C$15</f>
        <v>0</v>
      </c>
      <c r="D22" s="1">
        <f t="shared" si="12"/>
        <v>0</v>
      </c>
      <c r="E22" s="35">
        <f t="shared" si="12"/>
        <v>0</v>
      </c>
      <c r="F22" s="1">
        <f t="shared" si="12"/>
        <v>0</v>
      </c>
      <c r="G22" s="1">
        <f t="shared" si="12"/>
        <v>0</v>
      </c>
      <c r="H22" s="1">
        <f t="shared" si="12"/>
        <v>0</v>
      </c>
      <c r="I22" s="1">
        <f t="shared" si="12"/>
        <v>0</v>
      </c>
      <c r="J22" s="1">
        <f t="shared" si="12"/>
        <v>0</v>
      </c>
      <c r="K22" s="1">
        <f t="shared" si="12"/>
        <v>0</v>
      </c>
      <c r="L22" s="1">
        <f t="shared" si="12"/>
        <v>0</v>
      </c>
      <c r="M22" s="1">
        <f t="shared" si="12"/>
        <v>0</v>
      </c>
      <c r="N22" s="1">
        <f t="shared" si="12"/>
        <v>0</v>
      </c>
      <c r="O22" s="1">
        <f t="shared" si="12"/>
        <v>0</v>
      </c>
      <c r="P22" s="1">
        <f t="shared" si="12"/>
        <v>0</v>
      </c>
      <c r="Q22" s="1">
        <f t="shared" si="12"/>
        <v>0</v>
      </c>
      <c r="R22" s="2">
        <f t="shared" si="12"/>
        <v>0</v>
      </c>
      <c r="S22" s="35">
        <f t="shared" si="12"/>
        <v>0</v>
      </c>
      <c r="T22" s="1">
        <f t="shared" si="12"/>
        <v>0</v>
      </c>
      <c r="U22" s="1">
        <f t="shared" si="12"/>
        <v>0</v>
      </c>
      <c r="V22" s="1">
        <f t="shared" si="12"/>
        <v>0</v>
      </c>
      <c r="W22" s="1">
        <f t="shared" si="12"/>
        <v>0</v>
      </c>
      <c r="X22" s="1">
        <f t="shared" si="12"/>
        <v>0</v>
      </c>
      <c r="Y22" s="1">
        <f t="shared" si="12"/>
        <v>0</v>
      </c>
      <c r="Z22" s="1">
        <f t="shared" si="12"/>
        <v>0</v>
      </c>
      <c r="AA22" s="1">
        <f t="shared" si="12"/>
        <v>0</v>
      </c>
      <c r="AB22" s="1">
        <f t="shared" si="12"/>
        <v>0</v>
      </c>
      <c r="AC22" s="1">
        <f t="shared" si="12"/>
        <v>0</v>
      </c>
      <c r="AD22" s="1">
        <f t="shared" si="12"/>
        <v>0</v>
      </c>
      <c r="AE22" s="1">
        <f t="shared" si="12"/>
        <v>0</v>
      </c>
      <c r="AF22" s="2">
        <f t="shared" si="12"/>
        <v>0</v>
      </c>
      <c r="AG22" s="35">
        <f t="shared" si="12"/>
        <v>0</v>
      </c>
      <c r="AH22" s="1">
        <f t="shared" si="12"/>
        <v>0</v>
      </c>
      <c r="AI22" s="1">
        <f t="shared" ref="AI22:BH22" si="13">AI8*AI$15</f>
        <v>0</v>
      </c>
      <c r="AJ22" s="1">
        <f t="shared" si="13"/>
        <v>0</v>
      </c>
      <c r="AK22" s="1">
        <f t="shared" si="13"/>
        <v>0</v>
      </c>
      <c r="AL22" s="1">
        <f t="shared" si="13"/>
        <v>0</v>
      </c>
      <c r="AM22" s="1">
        <f t="shared" si="13"/>
        <v>0</v>
      </c>
      <c r="AN22" s="1">
        <f t="shared" si="13"/>
        <v>0</v>
      </c>
      <c r="AO22" s="1">
        <f t="shared" si="13"/>
        <v>0</v>
      </c>
      <c r="AP22" s="1">
        <f t="shared" si="13"/>
        <v>0</v>
      </c>
      <c r="AQ22" s="1">
        <f t="shared" si="13"/>
        <v>0</v>
      </c>
      <c r="AR22" s="1">
        <f t="shared" si="13"/>
        <v>0</v>
      </c>
      <c r="AS22" s="1">
        <f t="shared" si="13"/>
        <v>0</v>
      </c>
      <c r="AT22" s="2">
        <f t="shared" si="13"/>
        <v>0</v>
      </c>
      <c r="AU22" s="1">
        <f t="shared" si="13"/>
        <v>0</v>
      </c>
      <c r="AV22" s="1">
        <f t="shared" si="13"/>
        <v>0</v>
      </c>
      <c r="AW22" s="1">
        <f t="shared" si="13"/>
        <v>0</v>
      </c>
      <c r="AX22" s="1">
        <f t="shared" si="13"/>
        <v>0</v>
      </c>
      <c r="AY22" s="1">
        <f t="shared" si="13"/>
        <v>0</v>
      </c>
      <c r="AZ22" s="1">
        <f t="shared" si="13"/>
        <v>0</v>
      </c>
      <c r="BA22" s="1">
        <f t="shared" si="13"/>
        <v>0</v>
      </c>
      <c r="BB22" s="1">
        <f t="shared" si="13"/>
        <v>0</v>
      </c>
      <c r="BC22" s="1">
        <f t="shared" si="13"/>
        <v>0</v>
      </c>
      <c r="BD22" s="1">
        <f t="shared" si="13"/>
        <v>0</v>
      </c>
      <c r="BE22" s="1">
        <f t="shared" si="13"/>
        <v>0</v>
      </c>
      <c r="BF22" s="1">
        <f t="shared" si="13"/>
        <v>0</v>
      </c>
      <c r="BG22" s="1">
        <f t="shared" si="13"/>
        <v>0</v>
      </c>
      <c r="BH22" s="2">
        <f t="shared" si="13"/>
        <v>0</v>
      </c>
    </row>
    <row r="23" spans="1:60" customFormat="1">
      <c r="A23" s="43">
        <f t="shared" si="0"/>
        <v>7</v>
      </c>
      <c r="B23" s="44">
        <f t="shared" si="1"/>
        <v>0</v>
      </c>
      <c r="C23" s="45">
        <f t="shared" ref="C23:AH23" si="14">C9*C$15</f>
        <v>0</v>
      </c>
      <c r="D23" s="45">
        <f t="shared" si="14"/>
        <v>0</v>
      </c>
      <c r="E23" s="43">
        <f t="shared" si="14"/>
        <v>0</v>
      </c>
      <c r="F23" s="45">
        <f t="shared" si="14"/>
        <v>0</v>
      </c>
      <c r="G23" s="45">
        <f t="shared" si="14"/>
        <v>0</v>
      </c>
      <c r="H23" s="45">
        <f t="shared" si="14"/>
        <v>0</v>
      </c>
      <c r="I23" s="45">
        <f t="shared" si="14"/>
        <v>0</v>
      </c>
      <c r="J23" s="45">
        <f t="shared" si="14"/>
        <v>0</v>
      </c>
      <c r="K23" s="45">
        <f t="shared" si="14"/>
        <v>0</v>
      </c>
      <c r="L23" s="45">
        <f t="shared" si="14"/>
        <v>0</v>
      </c>
      <c r="M23" s="45">
        <f t="shared" si="14"/>
        <v>0</v>
      </c>
      <c r="N23" s="45">
        <f t="shared" si="14"/>
        <v>0</v>
      </c>
      <c r="O23" s="45">
        <f t="shared" si="14"/>
        <v>0</v>
      </c>
      <c r="P23" s="45">
        <f t="shared" si="14"/>
        <v>0</v>
      </c>
      <c r="Q23" s="45">
        <f t="shared" si="14"/>
        <v>0</v>
      </c>
      <c r="R23" s="46">
        <f t="shared" si="14"/>
        <v>0</v>
      </c>
      <c r="S23" s="43">
        <f t="shared" si="14"/>
        <v>0</v>
      </c>
      <c r="T23" s="45">
        <f t="shared" si="14"/>
        <v>0</v>
      </c>
      <c r="U23" s="45">
        <f t="shared" si="14"/>
        <v>0</v>
      </c>
      <c r="V23" s="45">
        <f t="shared" si="14"/>
        <v>0</v>
      </c>
      <c r="W23" s="45">
        <f t="shared" si="14"/>
        <v>0</v>
      </c>
      <c r="X23" s="45">
        <f t="shared" si="14"/>
        <v>0</v>
      </c>
      <c r="Y23" s="45">
        <f t="shared" si="14"/>
        <v>0</v>
      </c>
      <c r="Z23" s="45">
        <f t="shared" si="14"/>
        <v>0</v>
      </c>
      <c r="AA23" s="45">
        <f t="shared" si="14"/>
        <v>0</v>
      </c>
      <c r="AB23" s="45">
        <f t="shared" si="14"/>
        <v>0</v>
      </c>
      <c r="AC23" s="45">
        <f t="shared" si="14"/>
        <v>0</v>
      </c>
      <c r="AD23" s="45">
        <f t="shared" si="14"/>
        <v>0</v>
      </c>
      <c r="AE23" s="45">
        <f t="shared" si="14"/>
        <v>0</v>
      </c>
      <c r="AF23" s="46">
        <f t="shared" si="14"/>
        <v>0</v>
      </c>
      <c r="AG23" s="43">
        <f t="shared" si="14"/>
        <v>0</v>
      </c>
      <c r="AH23" s="45">
        <f t="shared" si="14"/>
        <v>0</v>
      </c>
      <c r="AI23" s="45">
        <f t="shared" ref="AI23:BH23" si="15">AI9*AI$15</f>
        <v>0</v>
      </c>
      <c r="AJ23" s="45">
        <f t="shared" si="15"/>
        <v>0</v>
      </c>
      <c r="AK23" s="45">
        <f t="shared" si="15"/>
        <v>0</v>
      </c>
      <c r="AL23" s="45">
        <f t="shared" si="15"/>
        <v>0</v>
      </c>
      <c r="AM23" s="45">
        <f t="shared" si="15"/>
        <v>0</v>
      </c>
      <c r="AN23" s="45">
        <f t="shared" si="15"/>
        <v>0</v>
      </c>
      <c r="AO23" s="45">
        <f t="shared" si="15"/>
        <v>0</v>
      </c>
      <c r="AP23" s="45">
        <f t="shared" si="15"/>
        <v>0</v>
      </c>
      <c r="AQ23" s="45">
        <f t="shared" si="15"/>
        <v>0</v>
      </c>
      <c r="AR23" s="45">
        <f t="shared" si="15"/>
        <v>0</v>
      </c>
      <c r="AS23" s="45">
        <f t="shared" si="15"/>
        <v>0</v>
      </c>
      <c r="AT23" s="46">
        <f t="shared" si="15"/>
        <v>0</v>
      </c>
      <c r="AU23" s="45">
        <f t="shared" si="15"/>
        <v>0</v>
      </c>
      <c r="AV23" s="45">
        <f t="shared" si="15"/>
        <v>0</v>
      </c>
      <c r="AW23" s="45">
        <f t="shared" si="15"/>
        <v>0</v>
      </c>
      <c r="AX23" s="45">
        <f t="shared" si="15"/>
        <v>0</v>
      </c>
      <c r="AY23" s="45">
        <f t="shared" si="15"/>
        <v>0</v>
      </c>
      <c r="AZ23" s="45">
        <f t="shared" si="15"/>
        <v>0</v>
      </c>
      <c r="BA23" s="45">
        <f t="shared" si="15"/>
        <v>0</v>
      </c>
      <c r="BB23" s="45">
        <f t="shared" si="15"/>
        <v>0</v>
      </c>
      <c r="BC23" s="45">
        <f t="shared" si="15"/>
        <v>0</v>
      </c>
      <c r="BD23" s="45">
        <f t="shared" si="15"/>
        <v>0</v>
      </c>
      <c r="BE23" s="45">
        <f t="shared" si="15"/>
        <v>0</v>
      </c>
      <c r="BF23" s="45">
        <f t="shared" si="15"/>
        <v>0</v>
      </c>
      <c r="BG23" s="45">
        <f t="shared" si="15"/>
        <v>0</v>
      </c>
      <c r="BH23" s="46">
        <f t="shared" si="15"/>
        <v>0</v>
      </c>
    </row>
    <row r="24" spans="1:60" customFormat="1">
      <c r="A24" s="35">
        <f t="shared" si="0"/>
        <v>8</v>
      </c>
      <c r="B24" s="41">
        <f t="shared" si="1"/>
        <v>0</v>
      </c>
      <c r="C24" s="1">
        <f t="shared" ref="C24:AH24" si="16">C10*C$15</f>
        <v>0</v>
      </c>
      <c r="D24" s="1">
        <f t="shared" si="16"/>
        <v>0</v>
      </c>
      <c r="E24" s="35">
        <f t="shared" si="16"/>
        <v>0</v>
      </c>
      <c r="F24" s="1">
        <f t="shared" si="16"/>
        <v>0</v>
      </c>
      <c r="G24" s="1">
        <f t="shared" si="16"/>
        <v>0</v>
      </c>
      <c r="H24" s="1">
        <f t="shared" si="16"/>
        <v>0</v>
      </c>
      <c r="I24" s="1">
        <f t="shared" si="16"/>
        <v>0</v>
      </c>
      <c r="J24" s="1">
        <f t="shared" si="16"/>
        <v>0</v>
      </c>
      <c r="K24" s="1">
        <f t="shared" si="16"/>
        <v>0</v>
      </c>
      <c r="L24" s="1">
        <f t="shared" si="16"/>
        <v>0</v>
      </c>
      <c r="M24" s="1">
        <f t="shared" si="16"/>
        <v>0</v>
      </c>
      <c r="N24" s="1">
        <f t="shared" si="16"/>
        <v>0</v>
      </c>
      <c r="O24" s="1">
        <f t="shared" si="16"/>
        <v>0</v>
      </c>
      <c r="P24" s="1">
        <f t="shared" si="16"/>
        <v>0</v>
      </c>
      <c r="Q24" s="1">
        <f t="shared" si="16"/>
        <v>0</v>
      </c>
      <c r="R24" s="2">
        <f t="shared" si="16"/>
        <v>0</v>
      </c>
      <c r="S24" s="35">
        <f t="shared" si="16"/>
        <v>0</v>
      </c>
      <c r="T24" s="1">
        <f t="shared" si="16"/>
        <v>0</v>
      </c>
      <c r="U24" s="1">
        <f t="shared" si="16"/>
        <v>0</v>
      </c>
      <c r="V24" s="1">
        <f t="shared" si="16"/>
        <v>0</v>
      </c>
      <c r="W24" s="1">
        <f t="shared" si="16"/>
        <v>0</v>
      </c>
      <c r="X24" s="1">
        <f t="shared" si="16"/>
        <v>0</v>
      </c>
      <c r="Y24" s="1">
        <f t="shared" si="16"/>
        <v>0</v>
      </c>
      <c r="Z24" s="1">
        <f t="shared" si="16"/>
        <v>0</v>
      </c>
      <c r="AA24" s="1">
        <f t="shared" si="16"/>
        <v>0</v>
      </c>
      <c r="AB24" s="1">
        <f t="shared" si="16"/>
        <v>0</v>
      </c>
      <c r="AC24" s="1">
        <f t="shared" si="16"/>
        <v>0</v>
      </c>
      <c r="AD24" s="1">
        <f t="shared" si="16"/>
        <v>0</v>
      </c>
      <c r="AE24" s="1">
        <f t="shared" si="16"/>
        <v>0</v>
      </c>
      <c r="AF24" s="2">
        <f t="shared" si="16"/>
        <v>0</v>
      </c>
      <c r="AG24" s="35">
        <f t="shared" si="16"/>
        <v>0</v>
      </c>
      <c r="AH24" s="1">
        <f t="shared" si="16"/>
        <v>0</v>
      </c>
      <c r="AI24" s="1">
        <f t="shared" ref="AI24:BH24" si="17">AI10*AI$15</f>
        <v>0</v>
      </c>
      <c r="AJ24" s="1">
        <f t="shared" si="17"/>
        <v>0</v>
      </c>
      <c r="AK24" s="1">
        <f t="shared" si="17"/>
        <v>0</v>
      </c>
      <c r="AL24" s="1">
        <f t="shared" si="17"/>
        <v>0</v>
      </c>
      <c r="AM24" s="1">
        <f t="shared" si="17"/>
        <v>0</v>
      </c>
      <c r="AN24" s="1">
        <f t="shared" si="17"/>
        <v>0</v>
      </c>
      <c r="AO24" s="1">
        <f t="shared" si="17"/>
        <v>0</v>
      </c>
      <c r="AP24" s="1">
        <f t="shared" si="17"/>
        <v>0</v>
      </c>
      <c r="AQ24" s="1">
        <f t="shared" si="17"/>
        <v>0</v>
      </c>
      <c r="AR24" s="1">
        <f t="shared" si="17"/>
        <v>0</v>
      </c>
      <c r="AS24" s="1">
        <f t="shared" si="17"/>
        <v>0</v>
      </c>
      <c r="AT24" s="2">
        <f t="shared" si="17"/>
        <v>0</v>
      </c>
      <c r="AU24" s="1">
        <f t="shared" si="17"/>
        <v>0</v>
      </c>
      <c r="AV24" s="1">
        <f t="shared" si="17"/>
        <v>0</v>
      </c>
      <c r="AW24" s="1">
        <f t="shared" si="17"/>
        <v>0</v>
      </c>
      <c r="AX24" s="1">
        <f t="shared" si="17"/>
        <v>0</v>
      </c>
      <c r="AY24" s="1">
        <f t="shared" si="17"/>
        <v>0</v>
      </c>
      <c r="AZ24" s="1">
        <f t="shared" si="17"/>
        <v>0</v>
      </c>
      <c r="BA24" s="1">
        <f t="shared" si="17"/>
        <v>0</v>
      </c>
      <c r="BB24" s="1">
        <f t="shared" si="17"/>
        <v>0</v>
      </c>
      <c r="BC24" s="1">
        <f t="shared" si="17"/>
        <v>0</v>
      </c>
      <c r="BD24" s="1">
        <f t="shared" si="17"/>
        <v>0</v>
      </c>
      <c r="BE24" s="1">
        <f t="shared" si="17"/>
        <v>0</v>
      </c>
      <c r="BF24" s="1">
        <f t="shared" si="17"/>
        <v>0</v>
      </c>
      <c r="BG24" s="1">
        <f t="shared" si="17"/>
        <v>0</v>
      </c>
      <c r="BH24" s="2">
        <f t="shared" si="17"/>
        <v>0</v>
      </c>
    </row>
    <row r="25" spans="1:60" customFormat="1">
      <c r="A25" s="43">
        <f t="shared" si="0"/>
        <v>9</v>
      </c>
      <c r="B25" s="44">
        <f t="shared" si="1"/>
        <v>0</v>
      </c>
      <c r="C25" s="45">
        <f t="shared" ref="C25:AH25" si="18">C11*C$15</f>
        <v>0</v>
      </c>
      <c r="D25" s="45">
        <f t="shared" si="18"/>
        <v>0</v>
      </c>
      <c r="E25" s="43">
        <f t="shared" si="18"/>
        <v>0</v>
      </c>
      <c r="F25" s="45">
        <f t="shared" si="18"/>
        <v>0</v>
      </c>
      <c r="G25" s="45">
        <f t="shared" si="18"/>
        <v>0</v>
      </c>
      <c r="H25" s="45">
        <f t="shared" si="18"/>
        <v>0</v>
      </c>
      <c r="I25" s="45">
        <f t="shared" si="18"/>
        <v>0</v>
      </c>
      <c r="J25" s="45">
        <f t="shared" si="18"/>
        <v>0</v>
      </c>
      <c r="K25" s="45">
        <f t="shared" si="18"/>
        <v>0</v>
      </c>
      <c r="L25" s="45">
        <f t="shared" si="18"/>
        <v>0</v>
      </c>
      <c r="M25" s="45">
        <f t="shared" si="18"/>
        <v>0</v>
      </c>
      <c r="N25" s="45">
        <f t="shared" si="18"/>
        <v>0</v>
      </c>
      <c r="O25" s="45">
        <f t="shared" si="18"/>
        <v>0</v>
      </c>
      <c r="P25" s="45">
        <f t="shared" si="18"/>
        <v>0</v>
      </c>
      <c r="Q25" s="45">
        <f t="shared" si="18"/>
        <v>0</v>
      </c>
      <c r="R25" s="46">
        <f t="shared" si="18"/>
        <v>0</v>
      </c>
      <c r="S25" s="43">
        <f t="shared" si="18"/>
        <v>0</v>
      </c>
      <c r="T25" s="45">
        <f t="shared" si="18"/>
        <v>0</v>
      </c>
      <c r="U25" s="45">
        <f t="shared" si="18"/>
        <v>0</v>
      </c>
      <c r="V25" s="45">
        <f t="shared" si="18"/>
        <v>0</v>
      </c>
      <c r="W25" s="45">
        <f t="shared" si="18"/>
        <v>0</v>
      </c>
      <c r="X25" s="45">
        <f t="shared" si="18"/>
        <v>0</v>
      </c>
      <c r="Y25" s="45">
        <f t="shared" si="18"/>
        <v>0</v>
      </c>
      <c r="Z25" s="45">
        <f t="shared" si="18"/>
        <v>0</v>
      </c>
      <c r="AA25" s="45">
        <f t="shared" si="18"/>
        <v>0</v>
      </c>
      <c r="AB25" s="45">
        <f t="shared" si="18"/>
        <v>0</v>
      </c>
      <c r="AC25" s="45">
        <f t="shared" si="18"/>
        <v>0</v>
      </c>
      <c r="AD25" s="45">
        <f t="shared" si="18"/>
        <v>0</v>
      </c>
      <c r="AE25" s="45">
        <f t="shared" si="18"/>
        <v>0</v>
      </c>
      <c r="AF25" s="46">
        <f t="shared" si="18"/>
        <v>0</v>
      </c>
      <c r="AG25" s="43">
        <f t="shared" si="18"/>
        <v>0</v>
      </c>
      <c r="AH25" s="45">
        <f t="shared" si="18"/>
        <v>0</v>
      </c>
      <c r="AI25" s="45">
        <f t="shared" ref="AI25:BH25" si="19">AI11*AI$15</f>
        <v>0</v>
      </c>
      <c r="AJ25" s="45">
        <f t="shared" si="19"/>
        <v>0</v>
      </c>
      <c r="AK25" s="45">
        <f t="shared" si="19"/>
        <v>0</v>
      </c>
      <c r="AL25" s="45">
        <f t="shared" si="19"/>
        <v>0</v>
      </c>
      <c r="AM25" s="45">
        <f t="shared" si="19"/>
        <v>0</v>
      </c>
      <c r="AN25" s="45">
        <f t="shared" si="19"/>
        <v>0</v>
      </c>
      <c r="AO25" s="45">
        <f t="shared" si="19"/>
        <v>0</v>
      </c>
      <c r="AP25" s="45">
        <f t="shared" si="19"/>
        <v>0</v>
      </c>
      <c r="AQ25" s="45">
        <f t="shared" si="19"/>
        <v>0</v>
      </c>
      <c r="AR25" s="45">
        <f t="shared" si="19"/>
        <v>0</v>
      </c>
      <c r="AS25" s="45">
        <f t="shared" si="19"/>
        <v>0</v>
      </c>
      <c r="AT25" s="46">
        <f t="shared" si="19"/>
        <v>0</v>
      </c>
      <c r="AU25" s="45">
        <f t="shared" si="19"/>
        <v>0</v>
      </c>
      <c r="AV25" s="45">
        <f t="shared" si="19"/>
        <v>0</v>
      </c>
      <c r="AW25" s="45">
        <f t="shared" si="19"/>
        <v>0</v>
      </c>
      <c r="AX25" s="45">
        <f t="shared" si="19"/>
        <v>0</v>
      </c>
      <c r="AY25" s="45">
        <f t="shared" si="19"/>
        <v>0</v>
      </c>
      <c r="AZ25" s="45">
        <f t="shared" si="19"/>
        <v>0</v>
      </c>
      <c r="BA25" s="45">
        <f t="shared" si="19"/>
        <v>0</v>
      </c>
      <c r="BB25" s="45">
        <f t="shared" si="19"/>
        <v>0</v>
      </c>
      <c r="BC25" s="45">
        <f t="shared" si="19"/>
        <v>0</v>
      </c>
      <c r="BD25" s="45">
        <f t="shared" si="19"/>
        <v>0</v>
      </c>
      <c r="BE25" s="45">
        <f t="shared" si="19"/>
        <v>0</v>
      </c>
      <c r="BF25" s="45">
        <f t="shared" si="19"/>
        <v>0</v>
      </c>
      <c r="BG25" s="45">
        <f t="shared" si="19"/>
        <v>0</v>
      </c>
      <c r="BH25" s="46">
        <f t="shared" si="19"/>
        <v>0</v>
      </c>
    </row>
    <row r="26" spans="1:60" ht="13.5" thickBot="1">
      <c r="A26" s="36">
        <f t="shared" si="0"/>
        <v>10</v>
      </c>
      <c r="B26" s="42">
        <f t="shared" si="1"/>
        <v>0</v>
      </c>
      <c r="C26" s="3">
        <f t="shared" ref="C26:AH26" si="20">C12*C$15</f>
        <v>0</v>
      </c>
      <c r="D26" s="3">
        <f t="shared" si="20"/>
        <v>0</v>
      </c>
      <c r="E26" s="36">
        <f t="shared" si="20"/>
        <v>0</v>
      </c>
      <c r="F26" s="3">
        <f t="shared" si="20"/>
        <v>0</v>
      </c>
      <c r="G26" s="3">
        <f t="shared" si="20"/>
        <v>0</v>
      </c>
      <c r="H26" s="3">
        <f t="shared" si="20"/>
        <v>0</v>
      </c>
      <c r="I26" s="3">
        <f t="shared" si="20"/>
        <v>0</v>
      </c>
      <c r="J26" s="3">
        <f t="shared" si="20"/>
        <v>0</v>
      </c>
      <c r="K26" s="3">
        <f t="shared" si="20"/>
        <v>0</v>
      </c>
      <c r="L26" s="3">
        <f t="shared" si="20"/>
        <v>0</v>
      </c>
      <c r="M26" s="3">
        <f t="shared" si="20"/>
        <v>0</v>
      </c>
      <c r="N26" s="3">
        <f t="shared" si="20"/>
        <v>0</v>
      </c>
      <c r="O26" s="3">
        <f t="shared" si="20"/>
        <v>0</v>
      </c>
      <c r="P26" s="3">
        <f t="shared" si="20"/>
        <v>0</v>
      </c>
      <c r="Q26" s="3">
        <f t="shared" si="20"/>
        <v>0</v>
      </c>
      <c r="R26" s="4">
        <f t="shared" si="20"/>
        <v>0</v>
      </c>
      <c r="S26" s="36">
        <f t="shared" si="20"/>
        <v>0</v>
      </c>
      <c r="T26" s="3">
        <f t="shared" si="20"/>
        <v>0</v>
      </c>
      <c r="U26" s="3">
        <f t="shared" si="20"/>
        <v>0</v>
      </c>
      <c r="V26" s="3">
        <f t="shared" si="20"/>
        <v>0</v>
      </c>
      <c r="W26" s="3">
        <f t="shared" si="20"/>
        <v>0</v>
      </c>
      <c r="X26" s="3">
        <f t="shared" si="20"/>
        <v>0</v>
      </c>
      <c r="Y26" s="3">
        <f t="shared" si="20"/>
        <v>0</v>
      </c>
      <c r="Z26" s="3">
        <f t="shared" si="20"/>
        <v>0</v>
      </c>
      <c r="AA26" s="3">
        <f t="shared" si="20"/>
        <v>0</v>
      </c>
      <c r="AB26" s="3">
        <f t="shared" si="20"/>
        <v>0</v>
      </c>
      <c r="AC26" s="3">
        <f t="shared" si="20"/>
        <v>0</v>
      </c>
      <c r="AD26" s="3">
        <f t="shared" si="20"/>
        <v>0</v>
      </c>
      <c r="AE26" s="3">
        <f t="shared" si="20"/>
        <v>0</v>
      </c>
      <c r="AF26" s="4">
        <f t="shared" si="20"/>
        <v>0</v>
      </c>
      <c r="AG26" s="36">
        <f t="shared" si="20"/>
        <v>0</v>
      </c>
      <c r="AH26" s="3">
        <f t="shared" si="20"/>
        <v>0</v>
      </c>
      <c r="AI26" s="3">
        <f t="shared" ref="AI26:BH26" si="21">AI12*AI$15</f>
        <v>0</v>
      </c>
      <c r="AJ26" s="3">
        <f t="shared" si="21"/>
        <v>0</v>
      </c>
      <c r="AK26" s="3">
        <f t="shared" si="21"/>
        <v>0</v>
      </c>
      <c r="AL26" s="3">
        <f t="shared" si="21"/>
        <v>0</v>
      </c>
      <c r="AM26" s="3">
        <f t="shared" si="21"/>
        <v>0</v>
      </c>
      <c r="AN26" s="3">
        <f t="shared" si="21"/>
        <v>0</v>
      </c>
      <c r="AO26" s="3">
        <f t="shared" si="21"/>
        <v>0</v>
      </c>
      <c r="AP26" s="3">
        <f t="shared" si="21"/>
        <v>0</v>
      </c>
      <c r="AQ26" s="3">
        <f t="shared" si="21"/>
        <v>0</v>
      </c>
      <c r="AR26" s="3">
        <f t="shared" si="21"/>
        <v>0</v>
      </c>
      <c r="AS26" s="3">
        <f t="shared" si="21"/>
        <v>0</v>
      </c>
      <c r="AT26" s="4">
        <f t="shared" si="21"/>
        <v>0</v>
      </c>
      <c r="AU26" s="3">
        <f t="shared" si="21"/>
        <v>0</v>
      </c>
      <c r="AV26" s="3">
        <f t="shared" si="21"/>
        <v>0</v>
      </c>
      <c r="AW26" s="3">
        <f t="shared" si="21"/>
        <v>0</v>
      </c>
      <c r="AX26" s="3">
        <f t="shared" si="21"/>
        <v>0</v>
      </c>
      <c r="AY26" s="3">
        <f t="shared" si="21"/>
        <v>0</v>
      </c>
      <c r="AZ26" s="3">
        <f t="shared" si="21"/>
        <v>0</v>
      </c>
      <c r="BA26" s="3">
        <f t="shared" si="21"/>
        <v>0</v>
      </c>
      <c r="BB26" s="3">
        <f t="shared" si="21"/>
        <v>0</v>
      </c>
      <c r="BC26" s="3">
        <f t="shared" si="21"/>
        <v>0</v>
      </c>
      <c r="BD26" s="3">
        <f t="shared" si="21"/>
        <v>0</v>
      </c>
      <c r="BE26" s="3">
        <f t="shared" si="21"/>
        <v>0</v>
      </c>
      <c r="BF26" s="3">
        <f t="shared" si="21"/>
        <v>0</v>
      </c>
      <c r="BG26" s="3">
        <f t="shared" si="21"/>
        <v>0</v>
      </c>
      <c r="BH26" s="4">
        <f t="shared" si="21"/>
        <v>0</v>
      </c>
    </row>
    <row r="27" spans="1:60" ht="13.5" thickBot="1"/>
    <row r="28" spans="1:60">
      <c r="A28" s="100" t="s">
        <v>54</v>
      </c>
      <c r="B28" s="112">
        <f>MIN(B17:B26)</f>
        <v>0</v>
      </c>
    </row>
    <row r="29" spans="1:60" ht="13.5" thickBot="1">
      <c r="A29" s="100"/>
      <c r="B29" s="113"/>
    </row>
  </sheetData>
  <mergeCells count="7">
    <mergeCell ref="A28:A29"/>
    <mergeCell ref="E1:R1"/>
    <mergeCell ref="S1:AF1"/>
    <mergeCell ref="AG1:AT1"/>
    <mergeCell ref="AU1:BH1"/>
    <mergeCell ref="B28:B29"/>
    <mergeCell ref="A15:B15"/>
  </mergeCells>
  <conditionalFormatting sqref="C3:BH12">
    <cfRule type="cellIs" dxfId="4" priority="10" operator="equal">
      <formula>0</formula>
    </cfRule>
  </conditionalFormatting>
  <conditionalFormatting sqref="E3:R12">
    <cfRule type="colorScale" priority="7">
      <colorScale>
        <cfvo type="min" val="0"/>
        <cfvo type="percentile" val="50"/>
        <cfvo type="max" val="0"/>
        <color theme="5" tint="0.39997558519241921"/>
        <color theme="0"/>
        <color theme="4" tint="0.59999389629810485"/>
      </colorScale>
    </cfRule>
    <cfRule type="expression" dxfId="3" priority="8">
      <formula>"&gt;MEAN($E$3:$R$12)"</formula>
    </cfRule>
  </conditionalFormatting>
  <conditionalFormatting sqref="S3:AF12">
    <cfRule type="colorScale" priority="5">
      <colorScale>
        <cfvo type="min" val="0"/>
        <cfvo type="percentile" val="50"/>
        <cfvo type="max" val="0"/>
        <color theme="5" tint="0.39997558519241921"/>
        <color theme="0"/>
        <color theme="4" tint="0.59999389629810485"/>
      </colorScale>
    </cfRule>
    <cfRule type="expression" dxfId="2" priority="6">
      <formula>"&gt;MEAN($E$3:$R$12)"</formula>
    </cfRule>
  </conditionalFormatting>
  <conditionalFormatting sqref="AG3:AT12">
    <cfRule type="colorScale" priority="3">
      <colorScale>
        <cfvo type="min" val="0"/>
        <cfvo type="percentile" val="50"/>
        <cfvo type="max" val="0"/>
        <color theme="5" tint="0.39997558519241921"/>
        <color theme="0"/>
        <color theme="4" tint="0.59999389629810485"/>
      </colorScale>
    </cfRule>
    <cfRule type="expression" dxfId="1" priority="4">
      <formula>"&gt;MEAN($E$3:$R$12)"</formula>
    </cfRule>
  </conditionalFormatting>
  <conditionalFormatting sqref="AU3:BH12">
    <cfRule type="colorScale" priority="1">
      <colorScale>
        <cfvo type="min" val="0"/>
        <cfvo type="percentile" val="50"/>
        <cfvo type="max" val="0"/>
        <color theme="5" tint="0.39997558519241921"/>
        <color theme="0"/>
        <color theme="4" tint="0.59999389629810485"/>
      </colorScale>
    </cfRule>
    <cfRule type="expression" dxfId="0" priority="2">
      <formula>"&gt;MEAN($E$3:$R$12)"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"/>
  <dimension ref="A1:B4"/>
  <sheetViews>
    <sheetView workbookViewId="0">
      <selection activeCell="B5" sqref="B5"/>
    </sheetView>
  </sheetViews>
  <sheetFormatPr defaultRowHeight="12.75"/>
  <cols>
    <col min="1" max="1" width="11.28515625" bestFit="1" customWidth="1"/>
    <col min="2" max="2" width="17.28515625" bestFit="1" customWidth="1"/>
  </cols>
  <sheetData>
    <row r="1" spans="1:2">
      <c r="A1" s="82" t="s">
        <v>22</v>
      </c>
      <c r="B1" s="79" t="s">
        <v>0</v>
      </c>
    </row>
    <row r="2" spans="1:2">
      <c r="A2" s="82" t="s">
        <v>23</v>
      </c>
      <c r="B2" s="79" t="s">
        <v>66</v>
      </c>
    </row>
    <row r="3" spans="1:2">
      <c r="A3" s="82" t="s">
        <v>24</v>
      </c>
      <c r="B3" s="79" t="s">
        <v>24</v>
      </c>
    </row>
    <row r="4" spans="1:2">
      <c r="A4" s="82" t="s">
        <v>25</v>
      </c>
      <c r="B4" s="79" t="s">
        <v>24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9</vt:i4>
      </vt:variant>
    </vt:vector>
  </HeadingPairs>
  <TitlesOfParts>
    <vt:vector size="12" baseType="lpstr">
      <vt:lpstr>RAPORT</vt:lpstr>
      <vt:lpstr>StressTest</vt:lpstr>
      <vt:lpstr>Mapowanie</vt:lpstr>
      <vt:lpstr>dataLoadingTime</vt:lpstr>
      <vt:lpstr>elapsedTime</vt:lpstr>
      <vt:lpstr>inputAreaStart</vt:lpstr>
      <vt:lpstr>outputArea</vt:lpstr>
      <vt:lpstr>outputAreaStart</vt:lpstr>
      <vt:lpstr>sensivityArea</vt:lpstr>
      <vt:lpstr>sensivityAreaStart</vt:lpstr>
      <vt:lpstr>stressTestOutput</vt:lpstr>
      <vt:lpstr>valuationDate</vt:lpstr>
    </vt:vector>
  </TitlesOfParts>
  <Company>UniCredit Servizi Informativi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USI</dc:creator>
  <cp:lastModifiedBy>user</cp:lastModifiedBy>
  <dcterms:created xsi:type="dcterms:W3CDTF">2014-06-23T08:25:33Z</dcterms:created>
  <dcterms:modified xsi:type="dcterms:W3CDTF">2014-09-07T02:14:11Z</dcterms:modified>
</cp:coreProperties>
</file>