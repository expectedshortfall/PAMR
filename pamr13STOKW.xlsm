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  <sheet name="Mapowanie" sheetId="8" r:id="rId3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<sst xmlns="http://schemas.openxmlformats.org/spreadsheetml/2006/main" count="142" uniqueCount="67">
  <si>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</si>
  <si>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</si>
  <si>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</si>
  <si>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</si>
  <si>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</si>
  <si>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</si>
  <si>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</si>
  <si>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</si>
  <si>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</si>
  <si>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</si>
  <si>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</si>
  <si>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</si>
  <si>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</si>
  <si>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</si>
  <si>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</si>
  <si>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</si>
  <si>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</si>
  <si>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</si>
  <si>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</si>
  <si>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</si>
  <si>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</si>
  <si>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</si>
  <si>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</si>
  <si>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</si>
  <si>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</si>
  <si>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</si>
  <si>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</si>
  <si>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</si>
  <si>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</si>
  <si>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</si>
  <si>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</si>
  <si>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</si>
  <si>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</si>
  <si>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</si>
  <si>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</si>
  <si>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</si>
  <si>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</si>
  <si>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</si>
  <si>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</si>
  <si>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</si>
  <si>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</si>
  <si>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</si>
  <si>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</si>
  <si>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</si>
  <si>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</si>
  <si>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</si>
  <si>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</si>
  <si>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</si>
  <si>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</si>
  <si>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</si>
  <si>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</si>
  <si>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</si>
  <si>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</si>
  <si>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</si>
  <si>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</si>
  <si>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</si>
  <si>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</si>
  <si>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</si>
  <si>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</si>
  <si>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</si>
  <si>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</si>
  <si>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</si>
  <si>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</si>
  <si>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</si>
  <si>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</si>
  <si>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</si>
  <si>
    <t>PLNX, PLN3, PLN6</t>
  </si>
</sst>
</file>

<file path=xl/styles.xml><?xml version="1.0" encoding="utf-8"?>
<styleSheet xmlns="http://schemas.openxmlformats.org/spreadsheetml/2006/main">
  <numFmts count="4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  <numFmt numFmtId="166" formatCode="0.0000"/>
  </numFmts>
  <fonts count="1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0"/>
      <color rgb="FF222222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166" fontId="0" fillId="0" borderId="3" xfId="0" applyNumberFormat="1" applyBorder="1"/>
    <xf numFmtId="166" fontId="0" fillId="0" borderId="10" xfId="0" applyNumberFormat="1" applyBorder="1"/>
    <xf numFmtId="0" fontId="18" fillId="0" borderId="0" xfId="0" applyFont="1"/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I24" sqref="I24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4" t="s">
        <v>55</v>
      </c>
      <c r="C2" s="95"/>
      <c r="D2" s="53">
        <v>41310</v>
      </c>
    </row>
    <row r="3" spans="2:12" ht="13.5" thickBot="1"/>
    <row r="4" spans="2:12" ht="31.5" customHeight="1">
      <c r="B4" s="96" t="s">
        <v>59</v>
      </c>
      <c r="C4" s="97"/>
      <c r="D4" s="98" t="s">
        <v>17</v>
      </c>
      <c r="E4" s="85" t="s">
        <v>21</v>
      </c>
      <c r="F4" s="85" t="s">
        <v>18</v>
      </c>
      <c r="G4" s="85" t="s">
        <v>19</v>
      </c>
      <c r="H4" s="85" t="s">
        <v>20</v>
      </c>
      <c r="I4" s="87" t="s">
        <v>3</v>
      </c>
    </row>
    <row r="5" spans="2:12" s="5" customFormat="1" ht="15.75">
      <c r="B5" s="69" t="s">
        <v>2</v>
      </c>
      <c r="C5" s="70" t="s">
        <v>60</v>
      </c>
      <c r="D5" s="99"/>
      <c r="E5" s="86"/>
      <c r="F5" s="86"/>
      <c r="G5" s="86"/>
      <c r="H5" s="86"/>
      <c r="I5" s="88"/>
    </row>
    <row r="6" spans="2:12">
      <c r="B6" s="68" t="s">
        <v>1</v>
      </c>
      <c r="C6" s="71" t="s">
        <v>58</v>
      </c>
      <c r="D6" s="54" t="s">
        <v>0</v>
      </c>
      <c r="E6" s="55">
        <v>50000</v>
      </c>
      <c r="F6" s="56">
        <v>0.9</v>
      </c>
      <c r="G6" s="56">
        <v>1.1000000000000001</v>
      </c>
      <c r="H6" s="82">
        <v>111.46608889661729</v>
      </c>
      <c r="I6" s="58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6" t="s">
        <v>1</v>
      </c>
      <c r="C7" s="72" t="s">
        <v>0</v>
      </c>
      <c r="D7" s="54" t="s">
        <v>0</v>
      </c>
      <c r="E7" s="55">
        <v>40000</v>
      </c>
      <c r="F7" s="56">
        <v>0.9</v>
      </c>
      <c r="G7" s="56">
        <v>1.1000000000000001</v>
      </c>
      <c r="H7" s="82">
        <v>21.514871246181428</v>
      </c>
      <c r="I7" s="58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6" t="s">
        <v>1</v>
      </c>
      <c r="C8" s="72" t="s">
        <v>24</v>
      </c>
      <c r="D8" s="54" t="s">
        <v>0</v>
      </c>
      <c r="E8" s="55">
        <v>20000</v>
      </c>
      <c r="F8" s="56">
        <v>0.9</v>
      </c>
      <c r="G8" s="56">
        <v>1.1000000000000001</v>
      </c>
      <c r="H8" s="82">
        <v>53.804923917166889</v>
      </c>
      <c r="I8" s="58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6" t="s">
        <v>1</v>
      </c>
      <c r="C9" s="72" t="s">
        <v>25</v>
      </c>
      <c r="D9" s="54" t="s">
        <v>0</v>
      </c>
      <c r="E9" s="55">
        <v>20000</v>
      </c>
      <c r="F9" s="56">
        <v>0.9</v>
      </c>
      <c r="G9" s="56">
        <v>1.1000000000000001</v>
      </c>
      <c r="H9" s="82">
        <v>36.146293733268976</v>
      </c>
      <c r="I9" s="58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7" t="s">
        <v>5</v>
      </c>
      <c r="C10" s="73"/>
      <c r="D10" s="54" t="s">
        <v>0</v>
      </c>
      <c r="E10" s="55">
        <v>2000000</v>
      </c>
      <c r="F10" s="56">
        <v>0.9</v>
      </c>
      <c r="G10" s="56">
        <v>1.1000000000000001</v>
      </c>
      <c r="H10" s="82">
        <v>0</v>
      </c>
      <c r="I10" s="58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7" t="s">
        <v>7</v>
      </c>
      <c r="C11" s="74">
        <v>0.99</v>
      </c>
      <c r="D11" s="54" t="s">
        <v>0</v>
      </c>
      <c r="E11" s="55">
        <v>300000</v>
      </c>
      <c r="F11" s="56">
        <v>0.9</v>
      </c>
      <c r="G11" s="56">
        <v>1.1000000000000001</v>
      </c>
      <c r="H11" s="82">
        <v>0</v>
      </c>
      <c r="I11" s="58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7" t="s">
        <v>9</v>
      </c>
      <c r="C12" s="74">
        <v>0.99</v>
      </c>
      <c r="D12" s="54" t="s">
        <v>0</v>
      </c>
      <c r="E12" s="55">
        <v>600000</v>
      </c>
      <c r="F12" s="56">
        <v>0.9</v>
      </c>
      <c r="G12" s="56">
        <v>1.1000000000000001</v>
      </c>
      <c r="H12" s="82">
        <v>0</v>
      </c>
      <c r="I12" s="58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7" t="s">
        <v>13</v>
      </c>
      <c r="C13" s="72" t="s">
        <v>58</v>
      </c>
      <c r="D13" s="54" t="s">
        <v>0</v>
      </c>
      <c r="E13" s="55">
        <v>70000</v>
      </c>
      <c r="F13" s="56">
        <v>0.9</v>
      </c>
      <c r="G13" s="56">
        <v>1.1000000000000001</v>
      </c>
      <c r="H13" s="82">
        <v>0</v>
      </c>
      <c r="I13" s="58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6" t="s">
        <v>13</v>
      </c>
      <c r="C14" s="72" t="s">
        <v>0</v>
      </c>
      <c r="D14" s="54" t="s">
        <v>0</v>
      </c>
      <c r="E14" s="55">
        <v>60000</v>
      </c>
      <c r="F14" s="56">
        <v>0.9</v>
      </c>
      <c r="G14" s="56">
        <v>1.1000000000000001</v>
      </c>
      <c r="H14" s="82">
        <v>0</v>
      </c>
      <c r="I14" s="58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6" t="s">
        <v>13</v>
      </c>
      <c r="C15" s="72" t="s">
        <v>24</v>
      </c>
      <c r="D15" s="54" t="s">
        <v>0</v>
      </c>
      <c r="E15" s="55">
        <v>30000</v>
      </c>
      <c r="F15" s="56">
        <v>0.9</v>
      </c>
      <c r="G15" s="56">
        <v>1.1000000000000001</v>
      </c>
      <c r="H15" s="82">
        <v>0</v>
      </c>
      <c r="I15" s="58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67" t="s">
        <v>13</v>
      </c>
      <c r="C16" s="75" t="s">
        <v>25</v>
      </c>
      <c r="D16" s="59" t="s">
        <v>0</v>
      </c>
      <c r="E16" s="60">
        <v>30000</v>
      </c>
      <c r="F16" s="61">
        <v>0.9</v>
      </c>
      <c r="G16" s="61">
        <v>1.1000000000000001</v>
      </c>
      <c r="H16" s="83">
        <v>0</v>
      </c>
      <c r="I16" s="62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9" ht="20.100000000000001" customHeight="1"/>
    <row r="19" spans="2:9">
      <c r="I19">
        <v>111.46608889661729</v>
      </c>
    </row>
    <row r="20" spans="2:9">
      <c r="I20">
        <v>21.514871246181428</v>
      </c>
    </row>
    <row r="21" spans="2:9">
      <c r="I21">
        <v>53.804923917166889</v>
      </c>
    </row>
    <row r="22" spans="2:9" ht="13.5" thickBot="1">
      <c r="I22">
        <v>36.146293733268976</v>
      </c>
    </row>
    <row r="23" spans="2:9" ht="15.75">
      <c r="B23" s="91" t="s">
        <v>65</v>
      </c>
      <c r="C23" s="92"/>
      <c r="D23" s="93"/>
      <c r="F23" s="63" t="s">
        <v>56</v>
      </c>
      <c r="G23" s="65">
        <f>COUNTIF(J6:J16,TRUE)</f>
        <v>0</v>
      </c>
    </row>
    <row r="24" spans="2:9" ht="15">
      <c r="B24" s="100" t="s">
        <v>63</v>
      </c>
      <c r="C24" s="101"/>
      <c r="D24" s="80">
        <v>2.9090576171875</v>
      </c>
      <c r="F24" s="76" t="s">
        <v>57</v>
      </c>
      <c r="G24" s="77">
        <f>COUNTIF(K6:K16,TRUE)</f>
        <v>0</v>
      </c>
      <c r="I24">
        <v>5.0048828125E-3</v>
      </c>
    </row>
    <row r="25" spans="2:9" ht="15.75" thickBot="1">
      <c r="B25" s="89" t="s">
        <v>64</v>
      </c>
      <c r="C25" s="90"/>
      <c r="D25" s="81">
        <v>8.99658203125E-2</v>
      </c>
      <c r="F25" s="64" t="s">
        <v>61</v>
      </c>
      <c r="G25" s="78">
        <f>COUNTIF(L6:L16,TRUE)</f>
        <v>0</v>
      </c>
    </row>
    <row r="27" spans="2:9">
      <c r="E27" s="79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E2" sqref="E2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6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7">
        <v>1</v>
      </c>
      <c r="B3" s="48" t="s">
        <v>43</v>
      </c>
      <c r="C3" s="47">
        <v>0</v>
      </c>
      <c r="D3" s="49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7">
        <v>3</v>
      </c>
      <c r="B5" s="48" t="s">
        <v>45</v>
      </c>
      <c r="C5" s="50">
        <v>0.05</v>
      </c>
      <c r="D5" s="51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7">
        <v>5</v>
      </c>
      <c r="B7" s="48" t="s">
        <v>47</v>
      </c>
      <c r="C7" s="47">
        <v>0</v>
      </c>
      <c r="D7" s="49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7">
        <v>7</v>
      </c>
      <c r="B9" s="48" t="s">
        <v>49</v>
      </c>
      <c r="C9" s="50">
        <v>-0.1</v>
      </c>
      <c r="D9" s="51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7">
        <v>9</v>
      </c>
      <c r="B11" s="48" t="s">
        <v>51</v>
      </c>
      <c r="C11" s="50">
        <v>0.15</v>
      </c>
      <c r="D11" s="51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</row>
    <row r="16" spans="1:88" customFormat="1" ht="13.5" thickBot="1"/>
    <row r="17" spans="1:60">
      <c r="A17" s="37">
        <f t="shared" ref="A17:A26" si="0">A3</f>
        <v>1</v>
      </c>
      <c r="B17" s="40">
        <f t="shared" ref="B17:B26" si="1">SUM(C17:BH17)</f>
        <v>0</v>
      </c>
      <c r="C17" s="38">
        <f t="shared" ref="C17:AH17" si="2">C3*C$15</f>
        <v>0</v>
      </c>
      <c r="D17" s="38">
        <f t="shared" si="2"/>
        <v>0</v>
      </c>
      <c r="E17" s="37">
        <f t="shared" si="2"/>
        <v>0</v>
      </c>
      <c r="F17" s="38">
        <f t="shared" si="2"/>
        <v>0</v>
      </c>
      <c r="G17" s="38">
        <f t="shared" si="2"/>
        <v>0</v>
      </c>
      <c r="H17" s="38">
        <f t="shared" si="2"/>
        <v>0</v>
      </c>
      <c r="I17" s="38">
        <f t="shared" si="2"/>
        <v>0</v>
      </c>
      <c r="J17" s="38">
        <f t="shared" si="2"/>
        <v>0</v>
      </c>
      <c r="K17" s="38">
        <f t="shared" si="2"/>
        <v>0</v>
      </c>
      <c r="L17" s="38">
        <f t="shared" si="2"/>
        <v>0</v>
      </c>
      <c r="M17" s="38">
        <f t="shared" si="2"/>
        <v>0</v>
      </c>
      <c r="N17" s="38">
        <f t="shared" si="2"/>
        <v>0</v>
      </c>
      <c r="O17" s="38">
        <f t="shared" si="2"/>
        <v>0</v>
      </c>
      <c r="P17" s="38">
        <f t="shared" si="2"/>
        <v>0</v>
      </c>
      <c r="Q17" s="38">
        <f t="shared" si="2"/>
        <v>0</v>
      </c>
      <c r="R17" s="39">
        <f t="shared" si="2"/>
        <v>0</v>
      </c>
      <c r="S17" s="37">
        <f t="shared" si="2"/>
        <v>0</v>
      </c>
      <c r="T17" s="38">
        <f t="shared" si="2"/>
        <v>0</v>
      </c>
      <c r="U17" s="38">
        <f t="shared" si="2"/>
        <v>0</v>
      </c>
      <c r="V17" s="38">
        <f t="shared" si="2"/>
        <v>0</v>
      </c>
      <c r="W17" s="38">
        <f t="shared" si="2"/>
        <v>0</v>
      </c>
      <c r="X17" s="38">
        <f t="shared" si="2"/>
        <v>0</v>
      </c>
      <c r="Y17" s="38">
        <f t="shared" si="2"/>
        <v>0</v>
      </c>
      <c r="Z17" s="38">
        <f t="shared" si="2"/>
        <v>0</v>
      </c>
      <c r="AA17" s="38">
        <f t="shared" si="2"/>
        <v>0</v>
      </c>
      <c r="AB17" s="38">
        <f t="shared" si="2"/>
        <v>0</v>
      </c>
      <c r="AC17" s="38">
        <f t="shared" si="2"/>
        <v>0</v>
      </c>
      <c r="AD17" s="38">
        <f t="shared" si="2"/>
        <v>0</v>
      </c>
      <c r="AE17" s="38">
        <f t="shared" si="2"/>
        <v>0</v>
      </c>
      <c r="AF17" s="39">
        <f t="shared" si="2"/>
        <v>0</v>
      </c>
      <c r="AG17" s="37">
        <f t="shared" si="2"/>
        <v>0</v>
      </c>
      <c r="AH17" s="38">
        <f t="shared" si="2"/>
        <v>0</v>
      </c>
      <c r="AI17" s="38">
        <f t="shared" ref="AI17:BH17" si="3">AI3*AI$15</f>
        <v>0</v>
      </c>
      <c r="AJ17" s="38">
        <f t="shared" si="3"/>
        <v>0</v>
      </c>
      <c r="AK17" s="38">
        <f t="shared" si="3"/>
        <v>0</v>
      </c>
      <c r="AL17" s="38">
        <f t="shared" si="3"/>
        <v>0</v>
      </c>
      <c r="AM17" s="38">
        <f t="shared" si="3"/>
        <v>0</v>
      </c>
      <c r="AN17" s="38">
        <f t="shared" si="3"/>
        <v>0</v>
      </c>
      <c r="AO17" s="38">
        <f t="shared" si="3"/>
        <v>0</v>
      </c>
      <c r="AP17" s="38">
        <f t="shared" si="3"/>
        <v>0</v>
      </c>
      <c r="AQ17" s="38">
        <f t="shared" si="3"/>
        <v>0</v>
      </c>
      <c r="AR17" s="38">
        <f t="shared" si="3"/>
        <v>0</v>
      </c>
      <c r="AS17" s="38">
        <f t="shared" si="3"/>
        <v>0</v>
      </c>
      <c r="AT17" s="39">
        <f t="shared" si="3"/>
        <v>0</v>
      </c>
      <c r="AU17" s="38">
        <f t="shared" si="3"/>
        <v>0</v>
      </c>
      <c r="AV17" s="38">
        <f t="shared" si="3"/>
        <v>0</v>
      </c>
      <c r="AW17" s="38">
        <f t="shared" si="3"/>
        <v>0</v>
      </c>
      <c r="AX17" s="38">
        <f t="shared" si="3"/>
        <v>0</v>
      </c>
      <c r="AY17" s="38">
        <f t="shared" si="3"/>
        <v>0</v>
      </c>
      <c r="AZ17" s="38">
        <f t="shared" si="3"/>
        <v>0</v>
      </c>
      <c r="BA17" s="38">
        <f t="shared" si="3"/>
        <v>0</v>
      </c>
      <c r="BB17" s="38">
        <f t="shared" si="3"/>
        <v>0</v>
      </c>
      <c r="BC17" s="38">
        <f t="shared" si="3"/>
        <v>0</v>
      </c>
      <c r="BD17" s="38">
        <f t="shared" si="3"/>
        <v>0</v>
      </c>
      <c r="BE17" s="38">
        <f t="shared" si="3"/>
        <v>0</v>
      </c>
      <c r="BF17" s="38">
        <f t="shared" si="3"/>
        <v>0</v>
      </c>
      <c r="BG17" s="38">
        <f t="shared" si="3"/>
        <v>0</v>
      </c>
      <c r="BH17" s="39">
        <f t="shared" si="3"/>
        <v>0</v>
      </c>
    </row>
    <row r="18" spans="1:60" customFormat="1">
      <c r="A18" s="35">
        <f t="shared" si="0"/>
        <v>2</v>
      </c>
      <c r="B18" s="41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3">
        <f t="shared" si="0"/>
        <v>3</v>
      </c>
      <c r="B19" s="44">
        <f t="shared" si="1"/>
        <v>0</v>
      </c>
      <c r="C19" s="45">
        <f t="shared" ref="C19:AH19" si="6">C5*C$15</f>
        <v>0</v>
      </c>
      <c r="D19" s="45">
        <f t="shared" si="6"/>
        <v>0</v>
      </c>
      <c r="E19" s="43">
        <f t="shared" si="6"/>
        <v>0</v>
      </c>
      <c r="F19" s="45">
        <f t="shared" si="6"/>
        <v>0</v>
      </c>
      <c r="G19" s="45">
        <f t="shared" si="6"/>
        <v>0</v>
      </c>
      <c r="H19" s="45">
        <f t="shared" si="6"/>
        <v>0</v>
      </c>
      <c r="I19" s="45">
        <f t="shared" si="6"/>
        <v>0</v>
      </c>
      <c r="J19" s="45">
        <f t="shared" si="6"/>
        <v>0</v>
      </c>
      <c r="K19" s="45">
        <f t="shared" si="6"/>
        <v>0</v>
      </c>
      <c r="L19" s="45">
        <f t="shared" si="6"/>
        <v>0</v>
      </c>
      <c r="M19" s="45">
        <f t="shared" si="6"/>
        <v>0</v>
      </c>
      <c r="N19" s="45">
        <f t="shared" si="6"/>
        <v>0</v>
      </c>
      <c r="O19" s="45">
        <f t="shared" si="6"/>
        <v>0</v>
      </c>
      <c r="P19" s="45">
        <f t="shared" si="6"/>
        <v>0</v>
      </c>
      <c r="Q19" s="45">
        <f t="shared" si="6"/>
        <v>0</v>
      </c>
      <c r="R19" s="46">
        <f t="shared" si="6"/>
        <v>0</v>
      </c>
      <c r="S19" s="43">
        <f t="shared" si="6"/>
        <v>0</v>
      </c>
      <c r="T19" s="45">
        <f t="shared" si="6"/>
        <v>0</v>
      </c>
      <c r="U19" s="45">
        <f t="shared" si="6"/>
        <v>0</v>
      </c>
      <c r="V19" s="45">
        <f t="shared" si="6"/>
        <v>0</v>
      </c>
      <c r="W19" s="45">
        <f t="shared" si="6"/>
        <v>0</v>
      </c>
      <c r="X19" s="45">
        <f t="shared" si="6"/>
        <v>0</v>
      </c>
      <c r="Y19" s="45">
        <f t="shared" si="6"/>
        <v>0</v>
      </c>
      <c r="Z19" s="45">
        <f t="shared" si="6"/>
        <v>0</v>
      </c>
      <c r="AA19" s="45">
        <f t="shared" si="6"/>
        <v>0</v>
      </c>
      <c r="AB19" s="45">
        <f t="shared" si="6"/>
        <v>0</v>
      </c>
      <c r="AC19" s="45">
        <f t="shared" si="6"/>
        <v>0</v>
      </c>
      <c r="AD19" s="45">
        <f t="shared" si="6"/>
        <v>0</v>
      </c>
      <c r="AE19" s="45">
        <f t="shared" si="6"/>
        <v>0</v>
      </c>
      <c r="AF19" s="46">
        <f t="shared" si="6"/>
        <v>0</v>
      </c>
      <c r="AG19" s="43">
        <f t="shared" si="6"/>
        <v>0</v>
      </c>
      <c r="AH19" s="45">
        <f t="shared" si="6"/>
        <v>0</v>
      </c>
      <c r="AI19" s="45">
        <f t="shared" ref="AI19:BH19" si="7">AI5*AI$15</f>
        <v>0</v>
      </c>
      <c r="AJ19" s="45">
        <f t="shared" si="7"/>
        <v>0</v>
      </c>
      <c r="AK19" s="45">
        <f t="shared" si="7"/>
        <v>0</v>
      </c>
      <c r="AL19" s="45">
        <f t="shared" si="7"/>
        <v>0</v>
      </c>
      <c r="AM19" s="45">
        <f t="shared" si="7"/>
        <v>0</v>
      </c>
      <c r="AN19" s="45">
        <f t="shared" si="7"/>
        <v>0</v>
      </c>
      <c r="AO19" s="45">
        <f t="shared" si="7"/>
        <v>0</v>
      </c>
      <c r="AP19" s="45">
        <f t="shared" si="7"/>
        <v>0</v>
      </c>
      <c r="AQ19" s="45">
        <f t="shared" si="7"/>
        <v>0</v>
      </c>
      <c r="AR19" s="45">
        <f t="shared" si="7"/>
        <v>0</v>
      </c>
      <c r="AS19" s="45">
        <f t="shared" si="7"/>
        <v>0</v>
      </c>
      <c r="AT19" s="46">
        <f t="shared" si="7"/>
        <v>0</v>
      </c>
      <c r="AU19" s="45">
        <f t="shared" si="7"/>
        <v>0</v>
      </c>
      <c r="AV19" s="45">
        <f t="shared" si="7"/>
        <v>0</v>
      </c>
      <c r="AW19" s="45">
        <f t="shared" si="7"/>
        <v>0</v>
      </c>
      <c r="AX19" s="45">
        <f t="shared" si="7"/>
        <v>0</v>
      </c>
      <c r="AY19" s="45">
        <f t="shared" si="7"/>
        <v>0</v>
      </c>
      <c r="AZ19" s="45">
        <f t="shared" si="7"/>
        <v>0</v>
      </c>
      <c r="BA19" s="45">
        <f t="shared" si="7"/>
        <v>0</v>
      </c>
      <c r="BB19" s="45">
        <f t="shared" si="7"/>
        <v>0</v>
      </c>
      <c r="BC19" s="45">
        <f t="shared" si="7"/>
        <v>0</v>
      </c>
      <c r="BD19" s="45">
        <f t="shared" si="7"/>
        <v>0</v>
      </c>
      <c r="BE19" s="45">
        <f t="shared" si="7"/>
        <v>0</v>
      </c>
      <c r="BF19" s="45">
        <f t="shared" si="7"/>
        <v>0</v>
      </c>
      <c r="BG19" s="45">
        <f t="shared" si="7"/>
        <v>0</v>
      </c>
      <c r="BH19" s="46">
        <f t="shared" si="7"/>
        <v>0</v>
      </c>
    </row>
    <row r="20" spans="1:60" customFormat="1">
      <c r="A20" s="35">
        <f t="shared" si="0"/>
        <v>4</v>
      </c>
      <c r="B20" s="41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3">
        <f t="shared" si="0"/>
        <v>5</v>
      </c>
      <c r="B21" s="44">
        <f t="shared" si="1"/>
        <v>0</v>
      </c>
      <c r="C21" s="45">
        <f t="shared" ref="C21:AH21" si="10">C7*C$15</f>
        <v>0</v>
      </c>
      <c r="D21" s="45">
        <f t="shared" si="10"/>
        <v>0</v>
      </c>
      <c r="E21" s="43">
        <f t="shared" si="10"/>
        <v>0</v>
      </c>
      <c r="F21" s="45">
        <f t="shared" si="10"/>
        <v>0</v>
      </c>
      <c r="G21" s="45">
        <f t="shared" si="10"/>
        <v>0</v>
      </c>
      <c r="H21" s="45">
        <f t="shared" si="10"/>
        <v>0</v>
      </c>
      <c r="I21" s="45">
        <f t="shared" si="10"/>
        <v>0</v>
      </c>
      <c r="J21" s="45">
        <f t="shared" si="10"/>
        <v>0</v>
      </c>
      <c r="K21" s="45">
        <f t="shared" si="10"/>
        <v>0</v>
      </c>
      <c r="L21" s="45">
        <f t="shared" si="10"/>
        <v>0</v>
      </c>
      <c r="M21" s="45">
        <f t="shared" si="10"/>
        <v>0</v>
      </c>
      <c r="N21" s="45">
        <f t="shared" si="10"/>
        <v>0</v>
      </c>
      <c r="O21" s="45">
        <f t="shared" si="10"/>
        <v>0</v>
      </c>
      <c r="P21" s="45">
        <f t="shared" si="10"/>
        <v>0</v>
      </c>
      <c r="Q21" s="45">
        <f t="shared" si="10"/>
        <v>0</v>
      </c>
      <c r="R21" s="46">
        <f t="shared" si="10"/>
        <v>0</v>
      </c>
      <c r="S21" s="43">
        <f t="shared" si="10"/>
        <v>0</v>
      </c>
      <c r="T21" s="45">
        <f t="shared" si="10"/>
        <v>0</v>
      </c>
      <c r="U21" s="45">
        <f t="shared" si="10"/>
        <v>0</v>
      </c>
      <c r="V21" s="45">
        <f t="shared" si="10"/>
        <v>0</v>
      </c>
      <c r="W21" s="45">
        <f t="shared" si="10"/>
        <v>0</v>
      </c>
      <c r="X21" s="45">
        <f t="shared" si="10"/>
        <v>0</v>
      </c>
      <c r="Y21" s="45">
        <f t="shared" si="10"/>
        <v>0</v>
      </c>
      <c r="Z21" s="45">
        <f t="shared" si="10"/>
        <v>0</v>
      </c>
      <c r="AA21" s="45">
        <f t="shared" si="10"/>
        <v>0</v>
      </c>
      <c r="AB21" s="45">
        <f t="shared" si="10"/>
        <v>0</v>
      </c>
      <c r="AC21" s="45">
        <f t="shared" si="10"/>
        <v>0</v>
      </c>
      <c r="AD21" s="45">
        <f t="shared" si="10"/>
        <v>0</v>
      </c>
      <c r="AE21" s="45">
        <f t="shared" si="10"/>
        <v>0</v>
      </c>
      <c r="AF21" s="46">
        <f t="shared" si="10"/>
        <v>0</v>
      </c>
      <c r="AG21" s="43">
        <f t="shared" si="10"/>
        <v>0</v>
      </c>
      <c r="AH21" s="45">
        <f t="shared" si="10"/>
        <v>0</v>
      </c>
      <c r="AI21" s="45">
        <f t="shared" ref="AI21:BH21" si="11">AI7*AI$15</f>
        <v>0</v>
      </c>
      <c r="AJ21" s="45">
        <f t="shared" si="11"/>
        <v>0</v>
      </c>
      <c r="AK21" s="45">
        <f t="shared" si="11"/>
        <v>0</v>
      </c>
      <c r="AL21" s="45">
        <f t="shared" si="11"/>
        <v>0</v>
      </c>
      <c r="AM21" s="45">
        <f t="shared" si="11"/>
        <v>0</v>
      </c>
      <c r="AN21" s="45">
        <f t="shared" si="11"/>
        <v>0</v>
      </c>
      <c r="AO21" s="45">
        <f t="shared" si="11"/>
        <v>0</v>
      </c>
      <c r="AP21" s="45">
        <f t="shared" si="11"/>
        <v>0</v>
      </c>
      <c r="AQ21" s="45">
        <f t="shared" si="11"/>
        <v>0</v>
      </c>
      <c r="AR21" s="45">
        <f t="shared" si="11"/>
        <v>0</v>
      </c>
      <c r="AS21" s="45">
        <f t="shared" si="11"/>
        <v>0</v>
      </c>
      <c r="AT21" s="46">
        <f t="shared" si="11"/>
        <v>0</v>
      </c>
      <c r="AU21" s="45">
        <f t="shared" si="11"/>
        <v>0</v>
      </c>
      <c r="AV21" s="45">
        <f t="shared" si="11"/>
        <v>0</v>
      </c>
      <c r="AW21" s="45">
        <f t="shared" si="11"/>
        <v>0</v>
      </c>
      <c r="AX21" s="45">
        <f t="shared" si="11"/>
        <v>0</v>
      </c>
      <c r="AY21" s="45">
        <f t="shared" si="11"/>
        <v>0</v>
      </c>
      <c r="AZ21" s="45">
        <f t="shared" si="11"/>
        <v>0</v>
      </c>
      <c r="BA21" s="45">
        <f t="shared" si="11"/>
        <v>0</v>
      </c>
      <c r="BB21" s="45">
        <f t="shared" si="11"/>
        <v>0</v>
      </c>
      <c r="BC21" s="45">
        <f t="shared" si="11"/>
        <v>0</v>
      </c>
      <c r="BD21" s="45">
        <f t="shared" si="11"/>
        <v>0</v>
      </c>
      <c r="BE21" s="45">
        <f t="shared" si="11"/>
        <v>0</v>
      </c>
      <c r="BF21" s="45">
        <f t="shared" si="11"/>
        <v>0</v>
      </c>
      <c r="BG21" s="45">
        <f t="shared" si="11"/>
        <v>0</v>
      </c>
      <c r="BH21" s="46">
        <f t="shared" si="11"/>
        <v>0</v>
      </c>
    </row>
    <row r="22" spans="1:60" customFormat="1">
      <c r="A22" s="35">
        <f t="shared" si="0"/>
        <v>6</v>
      </c>
      <c r="B22" s="41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3">
        <f t="shared" si="0"/>
        <v>7</v>
      </c>
      <c r="B23" s="44">
        <f t="shared" si="1"/>
        <v>0</v>
      </c>
      <c r="C23" s="45">
        <f t="shared" ref="C23:AH23" si="14">C9*C$15</f>
        <v>0</v>
      </c>
      <c r="D23" s="45">
        <f t="shared" si="14"/>
        <v>0</v>
      </c>
      <c r="E23" s="43">
        <f t="shared" si="14"/>
        <v>0</v>
      </c>
      <c r="F23" s="45">
        <f t="shared" si="14"/>
        <v>0</v>
      </c>
      <c r="G23" s="45">
        <f t="shared" si="14"/>
        <v>0</v>
      </c>
      <c r="H23" s="45">
        <f t="shared" si="14"/>
        <v>0</v>
      </c>
      <c r="I23" s="45">
        <f t="shared" si="14"/>
        <v>0</v>
      </c>
      <c r="J23" s="45">
        <f t="shared" si="14"/>
        <v>0</v>
      </c>
      <c r="K23" s="45">
        <f t="shared" si="14"/>
        <v>0</v>
      </c>
      <c r="L23" s="45">
        <f t="shared" si="14"/>
        <v>0</v>
      </c>
      <c r="M23" s="45">
        <f t="shared" si="14"/>
        <v>0</v>
      </c>
      <c r="N23" s="45">
        <f t="shared" si="14"/>
        <v>0</v>
      </c>
      <c r="O23" s="45">
        <f t="shared" si="14"/>
        <v>0</v>
      </c>
      <c r="P23" s="45">
        <f t="shared" si="14"/>
        <v>0</v>
      </c>
      <c r="Q23" s="45">
        <f t="shared" si="14"/>
        <v>0</v>
      </c>
      <c r="R23" s="46">
        <f t="shared" si="14"/>
        <v>0</v>
      </c>
      <c r="S23" s="43">
        <f t="shared" si="14"/>
        <v>0</v>
      </c>
      <c r="T23" s="45">
        <f t="shared" si="14"/>
        <v>0</v>
      </c>
      <c r="U23" s="45">
        <f t="shared" si="14"/>
        <v>0</v>
      </c>
      <c r="V23" s="45">
        <f t="shared" si="14"/>
        <v>0</v>
      </c>
      <c r="W23" s="45">
        <f t="shared" si="14"/>
        <v>0</v>
      </c>
      <c r="X23" s="45">
        <f t="shared" si="14"/>
        <v>0</v>
      </c>
      <c r="Y23" s="45">
        <f t="shared" si="14"/>
        <v>0</v>
      </c>
      <c r="Z23" s="45">
        <f t="shared" si="14"/>
        <v>0</v>
      </c>
      <c r="AA23" s="45">
        <f t="shared" si="14"/>
        <v>0</v>
      </c>
      <c r="AB23" s="45">
        <f t="shared" si="14"/>
        <v>0</v>
      </c>
      <c r="AC23" s="45">
        <f t="shared" si="14"/>
        <v>0</v>
      </c>
      <c r="AD23" s="45">
        <f t="shared" si="14"/>
        <v>0</v>
      </c>
      <c r="AE23" s="45">
        <f t="shared" si="14"/>
        <v>0</v>
      </c>
      <c r="AF23" s="46">
        <f t="shared" si="14"/>
        <v>0</v>
      </c>
      <c r="AG23" s="43">
        <f t="shared" si="14"/>
        <v>0</v>
      </c>
      <c r="AH23" s="45">
        <f t="shared" si="14"/>
        <v>0</v>
      </c>
      <c r="AI23" s="45">
        <f t="shared" ref="AI23:BH23" si="15">AI9*AI$15</f>
        <v>0</v>
      </c>
      <c r="AJ23" s="45">
        <f t="shared" si="15"/>
        <v>0</v>
      </c>
      <c r="AK23" s="45">
        <f t="shared" si="15"/>
        <v>0</v>
      </c>
      <c r="AL23" s="45">
        <f t="shared" si="15"/>
        <v>0</v>
      </c>
      <c r="AM23" s="45">
        <f t="shared" si="15"/>
        <v>0</v>
      </c>
      <c r="AN23" s="45">
        <f t="shared" si="15"/>
        <v>0</v>
      </c>
      <c r="AO23" s="45">
        <f t="shared" si="15"/>
        <v>0</v>
      </c>
      <c r="AP23" s="45">
        <f t="shared" si="15"/>
        <v>0</v>
      </c>
      <c r="AQ23" s="45">
        <f t="shared" si="15"/>
        <v>0</v>
      </c>
      <c r="AR23" s="45">
        <f t="shared" si="15"/>
        <v>0</v>
      </c>
      <c r="AS23" s="45">
        <f t="shared" si="15"/>
        <v>0</v>
      </c>
      <c r="AT23" s="46">
        <f t="shared" si="15"/>
        <v>0</v>
      </c>
      <c r="AU23" s="45">
        <f t="shared" si="15"/>
        <v>0</v>
      </c>
      <c r="AV23" s="45">
        <f t="shared" si="15"/>
        <v>0</v>
      </c>
      <c r="AW23" s="45">
        <f t="shared" si="15"/>
        <v>0</v>
      </c>
      <c r="AX23" s="45">
        <f t="shared" si="15"/>
        <v>0</v>
      </c>
      <c r="AY23" s="45">
        <f t="shared" si="15"/>
        <v>0</v>
      </c>
      <c r="AZ23" s="45">
        <f t="shared" si="15"/>
        <v>0</v>
      </c>
      <c r="BA23" s="45">
        <f t="shared" si="15"/>
        <v>0</v>
      </c>
      <c r="BB23" s="45">
        <f t="shared" si="15"/>
        <v>0</v>
      </c>
      <c r="BC23" s="45">
        <f t="shared" si="15"/>
        <v>0</v>
      </c>
      <c r="BD23" s="45">
        <f t="shared" si="15"/>
        <v>0</v>
      </c>
      <c r="BE23" s="45">
        <f t="shared" si="15"/>
        <v>0</v>
      </c>
      <c r="BF23" s="45">
        <f t="shared" si="15"/>
        <v>0</v>
      </c>
      <c r="BG23" s="45">
        <f t="shared" si="15"/>
        <v>0</v>
      </c>
      <c r="BH23" s="46">
        <f t="shared" si="15"/>
        <v>0</v>
      </c>
    </row>
    <row r="24" spans="1:60" customFormat="1">
      <c r="A24" s="35">
        <f t="shared" si="0"/>
        <v>8</v>
      </c>
      <c r="B24" s="41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3">
        <f t="shared" si="0"/>
        <v>9</v>
      </c>
      <c r="B25" s="44">
        <f t="shared" si="1"/>
        <v>0</v>
      </c>
      <c r="C25" s="45">
        <f t="shared" ref="C25:AH25" si="18">C11*C$15</f>
        <v>0</v>
      </c>
      <c r="D25" s="45">
        <f t="shared" si="18"/>
        <v>0</v>
      </c>
      <c r="E25" s="43">
        <f t="shared" si="18"/>
        <v>0</v>
      </c>
      <c r="F25" s="45">
        <f t="shared" si="18"/>
        <v>0</v>
      </c>
      <c r="G25" s="45">
        <f t="shared" si="18"/>
        <v>0</v>
      </c>
      <c r="H25" s="45">
        <f t="shared" si="18"/>
        <v>0</v>
      </c>
      <c r="I25" s="45">
        <f t="shared" si="18"/>
        <v>0</v>
      </c>
      <c r="J25" s="45">
        <f t="shared" si="18"/>
        <v>0</v>
      </c>
      <c r="K25" s="45">
        <f t="shared" si="18"/>
        <v>0</v>
      </c>
      <c r="L25" s="45">
        <f t="shared" si="18"/>
        <v>0</v>
      </c>
      <c r="M25" s="45">
        <f t="shared" si="18"/>
        <v>0</v>
      </c>
      <c r="N25" s="45">
        <f t="shared" si="18"/>
        <v>0</v>
      </c>
      <c r="O25" s="45">
        <f t="shared" si="18"/>
        <v>0</v>
      </c>
      <c r="P25" s="45">
        <f t="shared" si="18"/>
        <v>0</v>
      </c>
      <c r="Q25" s="45">
        <f t="shared" si="18"/>
        <v>0</v>
      </c>
      <c r="R25" s="46">
        <f t="shared" si="18"/>
        <v>0</v>
      </c>
      <c r="S25" s="43">
        <f t="shared" si="18"/>
        <v>0</v>
      </c>
      <c r="T25" s="45">
        <f t="shared" si="18"/>
        <v>0</v>
      </c>
      <c r="U25" s="45">
        <f t="shared" si="18"/>
        <v>0</v>
      </c>
      <c r="V25" s="45">
        <f t="shared" si="18"/>
        <v>0</v>
      </c>
      <c r="W25" s="45">
        <f t="shared" si="18"/>
        <v>0</v>
      </c>
      <c r="X25" s="45">
        <f t="shared" si="18"/>
        <v>0</v>
      </c>
      <c r="Y25" s="45">
        <f t="shared" si="18"/>
        <v>0</v>
      </c>
      <c r="Z25" s="45">
        <f t="shared" si="18"/>
        <v>0</v>
      </c>
      <c r="AA25" s="45">
        <f t="shared" si="18"/>
        <v>0</v>
      </c>
      <c r="AB25" s="45">
        <f t="shared" si="18"/>
        <v>0</v>
      </c>
      <c r="AC25" s="45">
        <f t="shared" si="18"/>
        <v>0</v>
      </c>
      <c r="AD25" s="45">
        <f t="shared" si="18"/>
        <v>0</v>
      </c>
      <c r="AE25" s="45">
        <f t="shared" si="18"/>
        <v>0</v>
      </c>
      <c r="AF25" s="46">
        <f t="shared" si="18"/>
        <v>0</v>
      </c>
      <c r="AG25" s="43">
        <f t="shared" si="18"/>
        <v>0</v>
      </c>
      <c r="AH25" s="45">
        <f t="shared" si="18"/>
        <v>0</v>
      </c>
      <c r="AI25" s="45">
        <f t="shared" ref="AI25:BH25" si="19">AI11*AI$15</f>
        <v>0</v>
      </c>
      <c r="AJ25" s="45">
        <f t="shared" si="19"/>
        <v>0</v>
      </c>
      <c r="AK25" s="45">
        <f t="shared" si="19"/>
        <v>0</v>
      </c>
      <c r="AL25" s="45">
        <f t="shared" si="19"/>
        <v>0</v>
      </c>
      <c r="AM25" s="45">
        <f t="shared" si="19"/>
        <v>0</v>
      </c>
      <c r="AN25" s="45">
        <f t="shared" si="19"/>
        <v>0</v>
      </c>
      <c r="AO25" s="45">
        <f t="shared" si="19"/>
        <v>0</v>
      </c>
      <c r="AP25" s="45">
        <f t="shared" si="19"/>
        <v>0</v>
      </c>
      <c r="AQ25" s="45">
        <f t="shared" si="19"/>
        <v>0</v>
      </c>
      <c r="AR25" s="45">
        <f t="shared" si="19"/>
        <v>0</v>
      </c>
      <c r="AS25" s="45">
        <f t="shared" si="19"/>
        <v>0</v>
      </c>
      <c r="AT25" s="46">
        <f t="shared" si="19"/>
        <v>0</v>
      </c>
      <c r="AU25" s="45">
        <f t="shared" si="19"/>
        <v>0</v>
      </c>
      <c r="AV25" s="45">
        <f t="shared" si="19"/>
        <v>0</v>
      </c>
      <c r="AW25" s="45">
        <f t="shared" si="19"/>
        <v>0</v>
      </c>
      <c r="AX25" s="45">
        <f t="shared" si="19"/>
        <v>0</v>
      </c>
      <c r="AY25" s="45">
        <f t="shared" si="19"/>
        <v>0</v>
      </c>
      <c r="AZ25" s="45">
        <f t="shared" si="19"/>
        <v>0</v>
      </c>
      <c r="BA25" s="45">
        <f t="shared" si="19"/>
        <v>0</v>
      </c>
      <c r="BB25" s="45">
        <f t="shared" si="19"/>
        <v>0</v>
      </c>
      <c r="BC25" s="45">
        <f t="shared" si="19"/>
        <v>0</v>
      </c>
      <c r="BD25" s="45">
        <f t="shared" si="19"/>
        <v>0</v>
      </c>
      <c r="BE25" s="45">
        <f t="shared" si="19"/>
        <v>0</v>
      </c>
      <c r="BF25" s="45">
        <f t="shared" si="19"/>
        <v>0</v>
      </c>
      <c r="BG25" s="45">
        <f t="shared" si="19"/>
        <v>0</v>
      </c>
      <c r="BH25" s="46">
        <f t="shared" si="19"/>
        <v>0</v>
      </c>
    </row>
    <row r="26" spans="1:60" ht="13.5" thickBot="1">
      <c r="A26" s="36">
        <f t="shared" si="0"/>
        <v>10</v>
      </c>
      <c r="B26" s="42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4"/>
  <sheetViews>
    <sheetView workbookViewId="0">
      <selection activeCell="B5" sqref="B5"/>
    </sheetView>
  </sheetViews>
  <sheetFormatPr defaultRowHeight="12.75"/>
  <cols>
    <col min="1" max="1" width="11.28515625" bestFit="1" customWidth="1"/>
    <col min="2" max="2" width="17.28515625" bestFit="1" customWidth="1"/>
  </cols>
  <sheetData>
    <row r="1" spans="1:2">
      <c r="A1" s="84" t="s">
        <v>22</v>
      </c>
      <c r="B1" s="79" t="s">
        <v>0</v>
      </c>
    </row>
    <row r="2" spans="1:2">
      <c r="A2" s="84" t="s">
        <v>23</v>
      </c>
      <c r="B2" s="79" t="s">
        <v>66</v>
      </c>
    </row>
    <row r="3" spans="1:2">
      <c r="A3" s="84" t="s">
        <v>24</v>
      </c>
      <c r="B3" s="79" t="s">
        <v>24</v>
      </c>
    </row>
    <row r="4" spans="1:2">
      <c r="A4" s="84" t="s">
        <v>25</v>
      </c>
      <c r="B4" s="79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RAPORT</vt:lpstr>
      <vt:lpstr>StressTest</vt:lpstr>
      <vt:lpstr>Mapowanie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2014-09-07T00:33:00Z</dcterms:modified>
</cp:coreProperties>
</file>