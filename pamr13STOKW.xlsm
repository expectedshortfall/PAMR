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3260" windowHeight="6420"/>
  </bookViews>
  <sheets>
    <sheet name="Logic" sheetId="1" r:id="rId1"/>
    <sheet name="Temp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E65" i="1" l="1"/>
  <c r="D65" i="1"/>
  <c r="C65" i="1"/>
  <c r="E64" i="1"/>
  <c r="D64" i="1"/>
  <c r="C64" i="1"/>
  <c r="E63" i="1"/>
  <c r="D63" i="1"/>
  <c r="C63" i="1"/>
  <c r="E62" i="1"/>
  <c r="D62" i="1"/>
  <c r="C62" i="1"/>
  <c r="E61" i="1"/>
  <c r="D61" i="1"/>
  <c r="C61" i="1"/>
  <c r="E60" i="1"/>
  <c r="D60" i="1"/>
  <c r="C60" i="1"/>
  <c r="E59" i="1"/>
  <c r="D59" i="1"/>
  <c r="C59" i="1"/>
  <c r="E58" i="1"/>
  <c r="D58" i="1"/>
  <c r="C58" i="1"/>
  <c r="E57" i="1"/>
  <c r="D57" i="1"/>
  <c r="C57" i="1"/>
  <c r="E56" i="1"/>
  <c r="D56" i="1"/>
  <c r="C56" i="1"/>
  <c r="E55" i="1"/>
  <c r="D55" i="1"/>
  <c r="C55" i="1"/>
  <c r="E54" i="1"/>
  <c r="D54" i="1"/>
  <c r="C54" i="1"/>
  <c r="E53" i="1"/>
  <c r="D53" i="1"/>
  <c r="C53" i="1"/>
  <c r="E52" i="1"/>
  <c r="D52" i="1"/>
  <c r="C52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E36" i="1"/>
  <c r="D36" i="1"/>
  <c r="C36" i="1"/>
  <c r="B35" i="1"/>
  <c r="B1" i="1"/>
  <c r="H17" i="1" s="1"/>
  <c r="C2" i="1"/>
  <c r="C3" i="1"/>
  <c r="C4" i="1"/>
  <c r="C5" i="1"/>
  <c r="H5" i="1"/>
  <c r="C6" i="1"/>
  <c r="H6" i="1"/>
  <c r="C7" i="1"/>
  <c r="C8" i="1"/>
  <c r="C9" i="1"/>
  <c r="C10" i="1"/>
  <c r="C11" i="1"/>
  <c r="C12" i="1"/>
  <c r="C13" i="1"/>
  <c r="C14" i="1"/>
  <c r="C15" i="1"/>
  <c r="C18" i="1"/>
  <c r="K18" i="1"/>
  <c r="C19" i="1"/>
  <c r="C20" i="1"/>
  <c r="H20" i="1"/>
  <c r="C21" i="1"/>
  <c r="C22" i="1"/>
  <c r="C23" i="1"/>
  <c r="C24" i="1"/>
  <c r="C25" i="1"/>
  <c r="C26" i="1"/>
  <c r="C27" i="1"/>
  <c r="C28" i="1"/>
  <c r="C29" i="1"/>
  <c r="C30" i="1"/>
  <c r="C31" i="1"/>
  <c r="D4" i="1"/>
  <c r="D23" i="1"/>
  <c r="D26" i="1"/>
  <c r="D13" i="1"/>
  <c r="D18" i="1"/>
  <c r="D29" i="1"/>
  <c r="D2" i="1"/>
  <c r="D5" i="1"/>
  <c r="D10" i="1"/>
  <c r="D11" i="1"/>
  <c r="D19" i="1"/>
  <c r="D30" i="1"/>
  <c r="D15" i="1"/>
  <c r="M19" i="1"/>
  <c r="D9" i="1"/>
  <c r="D14" i="1"/>
  <c r="D6" i="1"/>
  <c r="I5" i="1"/>
  <c r="D20" i="1"/>
  <c r="D25" i="1"/>
  <c r="D27" i="1"/>
  <c r="D22" i="1"/>
  <c r="D21" i="1"/>
  <c r="M20" i="1"/>
  <c r="D3" i="1"/>
  <c r="D28" i="1"/>
  <c r="D31" i="1"/>
  <c r="I6" i="1"/>
  <c r="D7" i="1"/>
  <c r="D24" i="1"/>
  <c r="D12" i="1"/>
  <c r="D8" i="1"/>
  <c r="H19" i="1" l="1"/>
  <c r="K12" i="1"/>
  <c r="G24" i="1"/>
  <c r="G12" i="1"/>
  <c r="H4" i="1"/>
  <c r="M18" i="1"/>
  <c r="N18" i="1" l="1"/>
  <c r="G13" i="1"/>
  <c r="H13" i="1" s="1"/>
  <c r="H12" i="1"/>
  <c r="K13" i="1"/>
  <c r="L13" i="1" s="1"/>
  <c r="L12" i="1"/>
  <c r="G25" i="1"/>
  <c r="H25" i="1" s="1"/>
  <c r="H24" i="1"/>
  <c r="L10" i="1"/>
  <c r="H22" i="1"/>
  <c r="K19" i="1" l="1"/>
  <c r="N19" i="1" s="1"/>
  <c r="H10" i="1"/>
  <c r="H8" i="1" l="1"/>
  <c r="K20" i="1" l="1"/>
  <c r="N20" i="1" s="1"/>
  <c r="L23" i="1"/>
</calcChain>
</file>

<file path=xl/comments1.xml><?xml version="1.0" encoding="utf-8"?>
<comments xmlns="http://schemas.openxmlformats.org/spreadsheetml/2006/main">
  <authors>
    <author>user</author>
  </authors>
  <commentList>
    <comment ref="B18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Od kiedy obowiązuje ta stawka, od dziś do chwili SPOT?</t>
        </r>
      </text>
    </comment>
  </commentList>
</comments>
</file>

<file path=xl/sharedStrings.xml><?xml version="1.0" encoding="utf-8"?>
<sst xmlns="http://schemas.openxmlformats.org/spreadsheetml/2006/main" count="107" uniqueCount="59">
  <si>
    <t>PL3_SN</t>
  </si>
  <si>
    <t>PL3_1M</t>
  </si>
  <si>
    <t>PL3_2M</t>
  </si>
  <si>
    <t>PL3_3M</t>
  </si>
  <si>
    <t>PL3_6M</t>
  </si>
  <si>
    <t>PL3_9M</t>
  </si>
  <si>
    <t>PL3_1Y</t>
  </si>
  <si>
    <t>PL3_2Y</t>
  </si>
  <si>
    <t>PL3_3Y</t>
  </si>
  <si>
    <t>PL3_4Y</t>
  </si>
  <si>
    <t>PL3_5Y</t>
  </si>
  <si>
    <t>PL3_7Y</t>
  </si>
  <si>
    <t>PL3_10Y</t>
  </si>
  <si>
    <t>PL3_20Y</t>
  </si>
  <si>
    <t>Date</t>
  </si>
  <si>
    <t>Rate</t>
  </si>
  <si>
    <t>TradeDate</t>
  </si>
  <si>
    <t>ValueDate</t>
  </si>
  <si>
    <t>Nominal</t>
  </si>
  <si>
    <t>Currency</t>
  </si>
  <si>
    <t>Buy/Sell</t>
  </si>
  <si>
    <t>RecFixingDate</t>
  </si>
  <si>
    <t>PLN</t>
  </si>
  <si>
    <t>Buy</t>
  </si>
  <si>
    <t>Forward curve</t>
  </si>
  <si>
    <t>Discount curve</t>
  </si>
  <si>
    <t>PLN_SN</t>
  </si>
  <si>
    <t>PLN_1M</t>
  </si>
  <si>
    <t>PLN_2M</t>
  </si>
  <si>
    <t>PLN_3M</t>
  </si>
  <si>
    <t>PLN_6M</t>
  </si>
  <si>
    <t>PLN_9M</t>
  </si>
  <si>
    <t>PLN_1Y</t>
  </si>
  <si>
    <t>PLN_2Y</t>
  </si>
  <si>
    <t>PLN_3Y</t>
  </si>
  <si>
    <t>PLN_4Y</t>
  </si>
  <si>
    <t>PLN_5Y</t>
  </si>
  <si>
    <t>PLN_7Y</t>
  </si>
  <si>
    <t>PLN_10Y</t>
  </si>
  <si>
    <t>PLN_20Y</t>
  </si>
  <si>
    <t>VALUATION DATE</t>
  </si>
  <si>
    <t>SPOT DATE</t>
  </si>
  <si>
    <t>YF</t>
  </si>
  <si>
    <t>DF_i</t>
  </si>
  <si>
    <t>DF_1</t>
  </si>
  <si>
    <t>DayCount</t>
  </si>
  <si>
    <t>ACT/365</t>
  </si>
  <si>
    <t>DF</t>
  </si>
  <si>
    <t>Rate on CF Date</t>
  </si>
  <si>
    <t>T_i</t>
  </si>
  <si>
    <t>T_j</t>
  </si>
  <si>
    <t>Maturity Date</t>
  </si>
  <si>
    <t>VALUE DATE</t>
  </si>
  <si>
    <t>MATURITY DATE</t>
  </si>
  <si>
    <t>Forward Rate</t>
  </si>
  <si>
    <t>VALUE</t>
  </si>
  <si>
    <t>DF_i,j</t>
  </si>
  <si>
    <t>NPV</t>
  </si>
  <si>
    <t>BPV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</si>
</sst>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\ _z_ł_-;\-* #,##0.00\ _z_ł_-;_-* &quot;-&quot;??\ _z_ł_-;_-@_-"/>
    <numFmt numFmtId="164" formatCode="_-* #,##0.000\ _z_ł_-;\-* #,##0.000\ _z_ł_-;_-* &quot;-&quot;??\ _z_ł_-;_-@_-"/>
    <numFmt numFmtId="165" formatCode="_-* #,##0.0000\ _z_ł_-;\-* #,##0.0000\ _z_ł_-;_-* &quot;-&quot;??\ _z_ł_-;_-@_-"/>
    <numFmt numFmtId="166" formatCode="_-* #,##0.00000\ _z_ł_-;\-* #,##0.00000\ _z_ł_-;_-* &quot;-&quot;??\ _z_ł_-;_-@_-"/>
    <numFmt numFmtId="167" formatCode="_-* #,##0.000000000\ _z_ł_-;\-* #,##0.000000000\ _z_ł_-;_-* &quot;-&quot;??\ _z_ł_-;_-@_-"/>
    <numFmt numFmtId="168" formatCode="0.000000"/>
    <numFmt numFmtId="169" formatCode="0.00000000000"/>
    <numFmt numFmtId="170" formatCode="0.00000000000000"/>
    <numFmt numFmtId="171" formatCode="_-* #,##0.00000000000\ _z_ł_-;\-* #,##0.00000000000\ _z_ł_-;_-* &quot;-&quot;??\ _z_ł_-;_-@_-"/>
    <numFmt numFmtId="172" formatCode="_-* #,##0.000000000000\ _z_ł_-;\-* #,##0.000000000000\ _z_ł_-;_-* &quot;-&quot;??\ _z_ł_-;_-@_-"/>
    <numFmt numFmtId="173" formatCode="_-* #,##0.00000000000000000\ _z_ł_-;\-* #,##0.00000000000000000\ _z_ł_-;_-* &quot;-&quot;??\ _z_ł_-;_-@_-"/>
  </numFmts>
  <fonts count="22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1"/>
      <color indexed="8"/>
      <name val="Czcionka tekstu podstawowego"/>
      <charset val="238"/>
    </font>
    <font>
      <sz val="14"/>
      <name val="Arial"/>
      <family val="2"/>
      <charset val="238"/>
    </font>
    <font>
      <sz val="11"/>
      <color indexed="8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indexed="8"/>
      <name val="Czcionka tekstu podstawowego"/>
      <charset val="238"/>
    </font>
    <font>
      <sz val="11"/>
      <color indexed="10"/>
      <name val="Czcionka tekstu podstawowego"/>
      <family val="2"/>
      <charset val="238"/>
    </font>
    <font>
      <b/>
      <sz val="11"/>
      <color indexed="10"/>
      <name val="Czcionka tekstu podstawowego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4" fillId="2" borderId="1" applyNumberFormat="0" applyAlignment="0" applyProtection="0"/>
    <xf numFmtId="0" fontId="5" fillId="3" borderId="2" applyNumberFormat="0" applyAlignment="0" applyProtection="0"/>
    <xf numFmtId="0" fontId="3" fillId="0" borderId="0"/>
    <xf numFmtId="9" fontId="1" fillId="0" borderId="0" applyFont="0" applyFill="0" applyBorder="0" applyAlignment="0" applyProtection="0"/>
    <xf numFmtId="0" fontId="17" fillId="4" borderId="0" applyNumberFormat="0" applyBorder="0" applyAlignment="0" applyProtection="0"/>
    <xf numFmtId="0" fontId="18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17" applyNumberFormat="0" applyFill="0" applyAlignment="0" applyProtection="0"/>
  </cellStyleXfs>
  <cellXfs count="54">
    <xf numFmtId="0" fontId="0" fillId="0" borderId="0" xfId="0"/>
    <xf numFmtId="0" fontId="9" fillId="0" borderId="0" xfId="0" applyFont="1" applyAlignment="1">
      <alignment horizontal="center" vertical="center" textRotation="90"/>
    </xf>
    <xf numFmtId="0" fontId="3" fillId="0" borderId="0" xfId="4" applyAlignment="1">
      <alignment horizontal="center" vertical="center" wrapText="1"/>
    </xf>
    <xf numFmtId="0" fontId="3" fillId="0" borderId="0" xfId="4"/>
    <xf numFmtId="14" fontId="3" fillId="0" borderId="0" xfId="4" applyNumberFormat="1"/>
    <xf numFmtId="14" fontId="3" fillId="0" borderId="0" xfId="4" applyNumberFormat="1" applyAlignment="1">
      <alignment horizontal="center" vertical="center" wrapText="1"/>
    </xf>
    <xf numFmtId="14" fontId="0" fillId="0" borderId="0" xfId="0" applyNumberFormat="1"/>
    <xf numFmtId="167" fontId="3" fillId="0" borderId="0" xfId="1" applyNumberFormat="1" applyFont="1" applyAlignment="1">
      <alignment horizontal="center" vertical="center" wrapText="1"/>
    </xf>
    <xf numFmtId="14" fontId="6" fillId="0" borderId="0" xfId="0" applyNumberFormat="1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4" applyNumberFormat="1" applyFont="1" applyAlignment="1">
      <alignment horizontal="center" vertical="center" wrapText="1"/>
    </xf>
    <xf numFmtId="166" fontId="3" fillId="0" borderId="0" xfId="1" applyNumberFormat="1" applyFont="1" applyAlignment="1">
      <alignment horizontal="center" vertical="center" wrapText="1"/>
    </xf>
    <xf numFmtId="164" fontId="3" fillId="0" borderId="0" xfId="1" applyNumberFormat="1" applyFont="1" applyAlignment="1">
      <alignment horizontal="center" vertical="center" wrapText="1"/>
    </xf>
    <xf numFmtId="14" fontId="13" fillId="0" borderId="3" xfId="0" applyNumberFormat="1" applyFont="1" applyBorder="1"/>
    <xf numFmtId="1" fontId="3" fillId="0" borderId="3" xfId="4" applyNumberFormat="1" applyBorder="1"/>
    <xf numFmtId="14" fontId="0" fillId="0" borderId="3" xfId="0" applyNumberFormat="1" applyBorder="1"/>
    <xf numFmtId="0" fontId="6" fillId="0" borderId="0" xfId="0" applyFont="1" applyAlignment="1">
      <alignment horizontal="center" vertical="center"/>
    </xf>
    <xf numFmtId="14" fontId="10" fillId="0" borderId="0" xfId="4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" fillId="0" borderId="0" xfId="4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3" fillId="0" borderId="0" xfId="1" applyNumberFormat="1" applyFont="1" applyAlignment="1">
      <alignment horizontal="center" vertical="center" wrapText="1"/>
    </xf>
    <xf numFmtId="170" fontId="3" fillId="0" borderId="0" xfId="4" applyNumberFormat="1"/>
    <xf numFmtId="14" fontId="0" fillId="0" borderId="4" xfId="0" applyNumberFormat="1" applyBorder="1"/>
    <xf numFmtId="2" fontId="14" fillId="0" borderId="5" xfId="0" applyNumberFormat="1" applyFont="1" applyBorder="1"/>
    <xf numFmtId="14" fontId="0" fillId="0" borderId="6" xfId="0" applyNumberFormat="1" applyBorder="1"/>
    <xf numFmtId="2" fontId="14" fillId="0" borderId="7" xfId="0" applyNumberFormat="1" applyFont="1" applyBorder="1"/>
    <xf numFmtId="14" fontId="8" fillId="0" borderId="8" xfId="4" applyNumberFormat="1" applyFont="1" applyBorder="1" applyAlignment="1">
      <alignment horizontal="center" vertical="center" wrapText="1"/>
    </xf>
    <xf numFmtId="14" fontId="3" fillId="0" borderId="9" xfId="4" applyNumberFormat="1" applyBorder="1" applyAlignment="1">
      <alignment horizontal="center" vertical="center" wrapText="1"/>
    </xf>
    <xf numFmtId="14" fontId="3" fillId="0" borderId="10" xfId="4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14" fontId="3" fillId="0" borderId="0" xfId="4" applyNumberFormat="1" applyAlignment="1">
      <alignment horizontal="right" vertical="center" wrapText="1"/>
    </xf>
    <xf numFmtId="171" fontId="15" fillId="0" borderId="11" xfId="1" applyNumberFormat="1" applyFont="1" applyBorder="1" applyAlignment="1">
      <alignment horizontal="center" vertical="center" wrapText="1"/>
    </xf>
    <xf numFmtId="14" fontId="3" fillId="0" borderId="0" xfId="4" applyNumberFormat="1" applyFill="1" applyAlignment="1">
      <alignment horizontal="center" vertical="center" wrapText="1"/>
    </xf>
    <xf numFmtId="172" fontId="15" fillId="0" borderId="0" xfId="1" applyNumberFormat="1" applyFont="1" applyBorder="1" applyAlignment="1">
      <alignment horizontal="center" vertical="center" wrapText="1"/>
    </xf>
    <xf numFmtId="0" fontId="6" fillId="0" borderId="9" xfId="0" applyFont="1" applyBorder="1" applyAlignment="1">
      <alignment vertical="center" wrapText="1"/>
    </xf>
    <xf numFmtId="0" fontId="6" fillId="0" borderId="12" xfId="0" applyFont="1" applyBorder="1" applyAlignment="1">
      <alignment vertical="center" wrapText="1"/>
    </xf>
    <xf numFmtId="0" fontId="6" fillId="0" borderId="10" xfId="0" applyFont="1" applyBorder="1" applyAlignment="1">
      <alignment vertical="center" wrapText="1"/>
    </xf>
    <xf numFmtId="14" fontId="0" fillId="0" borderId="13" xfId="0" applyNumberFormat="1" applyBorder="1"/>
    <xf numFmtId="3" fontId="0" fillId="0" borderId="13" xfId="0" applyNumberFormat="1" applyBorder="1"/>
    <xf numFmtId="0" fontId="0" fillId="0" borderId="13" xfId="0" applyBorder="1"/>
    <xf numFmtId="0" fontId="0" fillId="0" borderId="7" xfId="0" applyBorder="1"/>
    <xf numFmtId="14" fontId="3" fillId="0" borderId="0" xfId="4" applyNumberFormat="1" applyAlignment="1">
      <alignment vertical="center" wrapText="1"/>
    </xf>
    <xf numFmtId="14" fontId="8" fillId="0" borderId="14" xfId="4" applyNumberFormat="1" applyFont="1" applyBorder="1" applyAlignment="1">
      <alignment vertical="center" wrapText="1"/>
    </xf>
    <xf numFmtId="10" fontId="15" fillId="0" borderId="0" xfId="5" applyNumberFormat="1" applyFont="1" applyBorder="1" applyAlignment="1">
      <alignment horizontal="center" vertical="center" wrapText="1"/>
    </xf>
    <xf numFmtId="165" fontId="3" fillId="0" borderId="0" xfId="1" applyNumberFormat="1" applyFont="1" applyAlignment="1">
      <alignment horizontal="center" vertical="center" wrapText="1"/>
    </xf>
    <xf numFmtId="169" fontId="15" fillId="0" borderId="15" xfId="1" applyNumberFormat="1" applyFont="1" applyBorder="1" applyAlignment="1">
      <alignment horizontal="center" vertical="center" wrapText="1"/>
    </xf>
    <xf numFmtId="0" fontId="14" fillId="0" borderId="3" xfId="0" applyFont="1" applyBorder="1"/>
    <xf numFmtId="168" fontId="14" fillId="0" borderId="3" xfId="0" applyNumberFormat="1" applyFont="1" applyBorder="1"/>
    <xf numFmtId="1" fontId="3" fillId="0" borderId="0" xfId="4" applyNumberFormat="1"/>
    <xf numFmtId="0" fontId="21" fillId="0" borderId="0" xfId="0" applyFont="1" applyAlignment="1">
      <alignment horizontal="center" vertical="center"/>
    </xf>
  </cellXfs>
  <cellStyles count="10">
    <cellStyle name="Dane wejściowe" xfId="2"/>
    <cellStyle name="Dane wyjściowe" xfId="3"/>
    <cellStyle name="Dobre" xfId="6" hidden="1"/>
    <cellStyle name="Dziesiętny" xfId="1" builtinId="3"/>
    <cellStyle name="Komórka połączona" xfId="7" hidden="1"/>
    <cellStyle name="Normal_Sheet1" xfId="4"/>
    <cellStyle name="Normalny" xfId="0" builtinId="0"/>
    <cellStyle name="Procentowy" xfId="5" builtinId="5"/>
    <cellStyle name="Suma" xfId="9" hidden="1"/>
    <cellStyle name="Tekst ostrzeżenia" xf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65"/>
  <sheetViews>
    <sheetView tabSelected="1" zoomScale="85" zoomScaleNormal="85" workbookViewId="0">
      <selection activeCell="G35" sqref="G35"/>
    </sheetView>
  </sheetViews>
  <sheetFormatPr defaultRowHeight="12.75"/>
  <cols>
    <col min="1" max="1" width="7.140625" customWidth="1"/>
    <col min="2" max="2" width="10.5703125" bestFit="1" customWidth="1"/>
    <col min="3" max="3" width="3.28515625" bestFit="1" customWidth="1"/>
    <col min="4" max="4" width="13.7109375" bestFit="1" customWidth="1"/>
    <col min="5" max="5" width="20.85546875" bestFit="1" customWidth="1"/>
    <col min="6" max="6" width="11.5703125" bestFit="1" customWidth="1"/>
    <col min="7" max="7" width="18.140625" customWidth="1"/>
    <col min="8" max="8" width="26" bestFit="1" customWidth="1"/>
    <col min="9" max="9" width="13.42578125" bestFit="1" customWidth="1"/>
    <col min="10" max="10" width="10.140625" bestFit="1" customWidth="1"/>
    <col min="11" max="11" width="14.28515625" bestFit="1" customWidth="1"/>
    <col min="12" max="12" width="24" bestFit="1" customWidth="1"/>
    <col min="13" max="13" width="11.28515625" bestFit="1" customWidth="1"/>
    <col min="14" max="14" width="18.7109375" customWidth="1"/>
  </cols>
  <sheetData>
    <row r="1" spans="1:15" ht="15.75" customHeight="1">
      <c r="B1" s="8">
        <f>DATE(2013,2,5)</f>
        <v>41310</v>
      </c>
      <c r="C1" s="9"/>
      <c r="D1" s="18" t="s">
        <v>14</v>
      </c>
      <c r="E1" s="18" t="s">
        <v>15</v>
      </c>
      <c r="F1" s="32"/>
      <c r="G1" s="38" t="s">
        <v>16</v>
      </c>
      <c r="H1" s="39" t="s">
        <v>17</v>
      </c>
      <c r="I1" s="39" t="s">
        <v>51</v>
      </c>
      <c r="J1" s="39" t="s">
        <v>18</v>
      </c>
      <c r="K1" s="39" t="s">
        <v>19</v>
      </c>
      <c r="L1" s="39" t="s">
        <v>20</v>
      </c>
      <c r="M1" s="39" t="s">
        <v>15</v>
      </c>
      <c r="N1" s="40" t="s">
        <v>21</v>
      </c>
    </row>
    <row r="2" spans="1:15" ht="15" customHeight="1" thickBot="1">
      <c r="A2" s="1" t="s">
        <v>24</v>
      </c>
      <c r="B2" s="15" t="s">
        <v>0</v>
      </c>
      <c r="C2" s="16">
        <f>ROW(B2)-ROW($B$2)</f>
        <v>0</v>
      </c>
      <c r="D2" s="17">
        <f t="shared" ref="D2:D15" si="0">CurveTenorDate($B$1,C2)</f>
        <v>41312</v>
      </c>
      <c r="E2" s="50">
        <v>359.31397500000003</v>
      </c>
      <c r="G2" s="27">
        <v>41271</v>
      </c>
      <c r="H2" s="41">
        <v>41366</v>
      </c>
      <c r="I2" s="41">
        <v>41457</v>
      </c>
      <c r="J2" s="42">
        <v>500000</v>
      </c>
      <c r="K2" s="43" t="s">
        <v>22</v>
      </c>
      <c r="L2" s="43" t="s">
        <v>23</v>
      </c>
      <c r="M2" s="43">
        <v>300</v>
      </c>
      <c r="N2" s="44">
        <v>-2</v>
      </c>
      <c r="O2" s="5"/>
    </row>
    <row r="3" spans="1:15" ht="15">
      <c r="A3" s="1"/>
      <c r="B3" s="15" t="s">
        <v>1</v>
      </c>
      <c r="C3" s="16">
        <f t="shared" ref="C3:C15" si="1">ROW(B3)-ROW($B$2)</f>
        <v>1</v>
      </c>
      <c r="D3" s="17">
        <f t="shared" si="0"/>
        <v>41340</v>
      </c>
      <c r="E3" s="50">
        <v>364.28491499999996</v>
      </c>
      <c r="G3" s="5"/>
      <c r="H3" s="7"/>
      <c r="I3" s="5"/>
      <c r="J3" s="5"/>
      <c r="K3" s="5"/>
      <c r="L3" s="5"/>
      <c r="M3" s="5"/>
      <c r="N3" s="2"/>
    </row>
    <row r="4" spans="1:15" ht="15">
      <c r="A4" s="1"/>
      <c r="B4" s="15" t="s">
        <v>2</v>
      </c>
      <c r="C4" s="16">
        <f t="shared" si="1"/>
        <v>2</v>
      </c>
      <c r="D4" s="17">
        <f t="shared" si="0"/>
        <v>41372</v>
      </c>
      <c r="E4" s="50">
        <v>352.25292999999999</v>
      </c>
      <c r="G4" s="10" t="s">
        <v>40</v>
      </c>
      <c r="H4" s="12">
        <f>$B$1</f>
        <v>41310</v>
      </c>
      <c r="I4" s="5"/>
      <c r="J4" s="5"/>
      <c r="K4" s="5"/>
      <c r="L4" s="5"/>
      <c r="M4" s="5"/>
      <c r="N4" s="3"/>
    </row>
    <row r="5" spans="1:15" ht="15">
      <c r="A5" s="1"/>
      <c r="B5" s="15" t="s">
        <v>3</v>
      </c>
      <c r="C5" s="16">
        <f t="shared" si="1"/>
        <v>3</v>
      </c>
      <c r="D5" s="17">
        <f t="shared" si="0"/>
        <v>41401</v>
      </c>
      <c r="E5" s="50">
        <v>347.26855499999999</v>
      </c>
      <c r="G5" s="5" t="s">
        <v>52</v>
      </c>
      <c r="H5" s="5">
        <f>H2</f>
        <v>41366</v>
      </c>
      <c r="I5" s="13">
        <f>YearFracStr($H$4,H5,L18)</f>
        <v>0.15342465753424658</v>
      </c>
      <c r="J5" s="5"/>
      <c r="K5" s="5"/>
      <c r="L5" s="5"/>
      <c r="M5" s="5"/>
      <c r="N5" s="3"/>
    </row>
    <row r="6" spans="1:15" ht="15">
      <c r="A6" s="1"/>
      <c r="B6" s="15" t="s">
        <v>4</v>
      </c>
      <c r="C6" s="16">
        <f t="shared" si="1"/>
        <v>4</v>
      </c>
      <c r="D6" s="17">
        <f t="shared" si="0"/>
        <v>41493</v>
      </c>
      <c r="E6" s="50">
        <v>327.246645</v>
      </c>
      <c r="G6" s="5" t="s">
        <v>53</v>
      </c>
      <c r="H6" s="5">
        <f>I2</f>
        <v>41457</v>
      </c>
      <c r="I6" s="13">
        <f>YearFracStr($H$4,H6,L19)</f>
        <v>0.40273972602739727</v>
      </c>
      <c r="J6" s="5"/>
      <c r="K6" s="5"/>
      <c r="L6" s="5"/>
      <c r="M6" s="5"/>
      <c r="N6" s="3"/>
    </row>
    <row r="7" spans="1:15" ht="15">
      <c r="A7" s="1"/>
      <c r="B7" s="15" t="s">
        <v>5</v>
      </c>
      <c r="C7" s="16">
        <f t="shared" si="1"/>
        <v>5</v>
      </c>
      <c r="D7" s="17">
        <f t="shared" si="0"/>
        <v>41585</v>
      </c>
      <c r="E7" s="50">
        <v>313.25873000000001</v>
      </c>
      <c r="I7" s="5"/>
      <c r="J7" s="5"/>
      <c r="K7" s="5"/>
      <c r="L7" s="5"/>
      <c r="M7" s="5"/>
      <c r="N7" s="3"/>
    </row>
    <row r="8" spans="1:15" ht="15">
      <c r="A8" s="1"/>
      <c r="B8" s="15" t="s">
        <v>6</v>
      </c>
      <c r="C8" s="16">
        <f t="shared" si="1"/>
        <v>6</v>
      </c>
      <c r="D8" s="17">
        <f t="shared" si="0"/>
        <v>41677</v>
      </c>
      <c r="E8" s="50">
        <v>305.35547500000001</v>
      </c>
      <c r="G8" s="36" t="s">
        <v>54</v>
      </c>
      <c r="H8" s="37">
        <f ca="1">(L10*I6-H10*I5)/(I6-I5)</f>
        <v>323.12584589464888</v>
      </c>
      <c r="I8" s="47"/>
      <c r="J8" s="48"/>
      <c r="K8" s="5"/>
      <c r="L8" s="5"/>
      <c r="M8" s="5"/>
      <c r="N8" s="3"/>
    </row>
    <row r="9" spans="1:15" ht="15.75" thickBot="1">
      <c r="A9" s="1"/>
      <c r="B9" s="15" t="s">
        <v>7</v>
      </c>
      <c r="C9" s="16">
        <f t="shared" si="1"/>
        <v>7</v>
      </c>
      <c r="D9" s="17">
        <f t="shared" si="0"/>
        <v>42044</v>
      </c>
      <c r="E9" s="50">
        <v>299.96478000000002</v>
      </c>
      <c r="G9" s="5"/>
      <c r="H9" s="7"/>
      <c r="I9" s="5"/>
      <c r="J9" s="5"/>
      <c r="K9" s="5"/>
      <c r="L9" s="5"/>
      <c r="M9" s="5"/>
      <c r="N9" s="3"/>
    </row>
    <row r="10" spans="1:15" ht="15.75" thickBot="1">
      <c r="A10" s="1"/>
      <c r="B10" s="15" t="s">
        <v>8</v>
      </c>
      <c r="C10" s="16">
        <f t="shared" si="1"/>
        <v>8</v>
      </c>
      <c r="D10" s="17">
        <f t="shared" si="0"/>
        <v>42408</v>
      </c>
      <c r="E10" s="50">
        <v>306.257205</v>
      </c>
      <c r="G10" s="29" t="s">
        <v>52</v>
      </c>
      <c r="H10" s="35">
        <f ca="1">H12+YearFracStr(G12,H5,L18)/YearFracStr(G12,G13,L18)*(H13-H12)</f>
        <v>354.50892718749998</v>
      </c>
      <c r="I10" s="5"/>
      <c r="J10" s="5"/>
      <c r="K10" s="29" t="s">
        <v>52</v>
      </c>
      <c r="L10" s="35">
        <f ca="1">L12+YearFracStr(K12,H6,L18)/YearFracStr(K12,K13,L18)*(L13-L12)</f>
        <v>335.08130543478262</v>
      </c>
      <c r="M10" s="5"/>
      <c r="N10" s="3"/>
    </row>
    <row r="11" spans="1:15" ht="15">
      <c r="A11" s="1"/>
      <c r="B11" s="15" t="s">
        <v>9</v>
      </c>
      <c r="C11" s="16">
        <f t="shared" si="1"/>
        <v>9</v>
      </c>
      <c r="D11" s="17">
        <f t="shared" si="0"/>
        <v>42773</v>
      </c>
      <c r="E11" s="50">
        <v>310.61449500000003</v>
      </c>
      <c r="G11" s="30" t="s">
        <v>49</v>
      </c>
      <c r="H11" s="31" t="s">
        <v>50</v>
      </c>
      <c r="I11" s="5"/>
      <c r="J11" s="5"/>
      <c r="K11" s="30" t="s">
        <v>49</v>
      </c>
      <c r="L11" s="31" t="s">
        <v>50</v>
      </c>
      <c r="M11" s="5"/>
      <c r="N11" s="3"/>
    </row>
    <row r="12" spans="1:15" ht="15">
      <c r="A12" s="1"/>
      <c r="B12" s="15" t="s">
        <v>10</v>
      </c>
      <c r="C12" s="16">
        <f t="shared" si="1"/>
        <v>10</v>
      </c>
      <c r="D12" s="17">
        <f t="shared" si="0"/>
        <v>43138</v>
      </c>
      <c r="E12" s="50">
        <v>317.18485999999996</v>
      </c>
      <c r="F12" s="5"/>
      <c r="G12" s="25">
        <f>LOOKUP(H5,D2:D15)</f>
        <v>41340</v>
      </c>
      <c r="H12" s="26">
        <f>VLOOKUP(G12,D2:E15,2,FALSE)</f>
        <v>364.28491499999996</v>
      </c>
      <c r="I12" s="13"/>
      <c r="J12" s="5"/>
      <c r="K12" s="25">
        <f>LOOKUP(H6,D2:D15)</f>
        <v>41401</v>
      </c>
      <c r="L12" s="26">
        <f>VLOOKUP(K12,D2:E15,2,FALSE)</f>
        <v>347.26855499999999</v>
      </c>
      <c r="M12" s="13"/>
      <c r="N12" s="3"/>
    </row>
    <row r="13" spans="1:15" ht="15.75" thickBot="1">
      <c r="A13" s="1"/>
      <c r="B13" s="15" t="s">
        <v>11</v>
      </c>
      <c r="C13" s="16">
        <f t="shared" si="1"/>
        <v>11</v>
      </c>
      <c r="D13" s="17">
        <f t="shared" si="0"/>
        <v>43868</v>
      </c>
      <c r="E13" s="50">
        <v>329.32075999999995</v>
      </c>
      <c r="F13" s="5"/>
      <c r="G13" s="27">
        <f ca="1">OFFSET(D2,MATCH(G12,D2:D15,),0)</f>
        <v>41372</v>
      </c>
      <c r="H13" s="28">
        <f ca="1">VLOOKUP(G13,D2:E15,2,FALSE)</f>
        <v>352.25292999999999</v>
      </c>
      <c r="I13" s="13"/>
      <c r="J13" s="5"/>
      <c r="K13" s="27">
        <f ca="1">OFFSET(D2,MATCH(K12,D2:D15,),0)</f>
        <v>41493</v>
      </c>
      <c r="L13" s="28">
        <f ca="1">VLOOKUP(K13,D2:E15,2,FALSE)</f>
        <v>327.246645</v>
      </c>
      <c r="M13" s="13"/>
      <c r="N13" s="3"/>
    </row>
    <row r="14" spans="1:15" ht="15">
      <c r="A14" s="1"/>
      <c r="B14" s="15" t="s">
        <v>12</v>
      </c>
      <c r="C14" s="16">
        <f t="shared" si="1"/>
        <v>12</v>
      </c>
      <c r="D14" s="17">
        <f t="shared" si="0"/>
        <v>44964</v>
      </c>
      <c r="E14" s="50">
        <v>346.626305</v>
      </c>
      <c r="F14" s="5"/>
      <c r="G14" s="5"/>
      <c r="H14" s="5"/>
      <c r="I14" s="5"/>
      <c r="J14" s="5"/>
      <c r="K14" s="5"/>
      <c r="L14" s="5"/>
      <c r="M14" s="5"/>
      <c r="N14" s="3"/>
    </row>
    <row r="15" spans="1:15" ht="15">
      <c r="A15" s="1"/>
      <c r="B15" s="15" t="s">
        <v>13</v>
      </c>
      <c r="C15" s="16">
        <f t="shared" si="1"/>
        <v>13</v>
      </c>
      <c r="D15" s="17">
        <f t="shared" si="0"/>
        <v>48617</v>
      </c>
      <c r="E15" s="50">
        <v>331.76047999999997</v>
      </c>
      <c r="F15" s="5"/>
      <c r="G15" s="5"/>
      <c r="H15" s="5"/>
      <c r="I15" s="5"/>
      <c r="J15" s="5"/>
      <c r="K15" s="5"/>
      <c r="L15" s="5"/>
      <c r="M15" s="5"/>
      <c r="N15" s="3"/>
    </row>
    <row r="16" spans="1:15" ht="14.25">
      <c r="A16" s="3"/>
      <c r="B16" s="4"/>
      <c r="C16" s="4"/>
      <c r="D16" s="4"/>
      <c r="E16" s="5"/>
      <c r="F16" s="5"/>
      <c r="G16" s="5"/>
      <c r="H16" s="5"/>
      <c r="I16" s="5"/>
      <c r="J16" s="5"/>
      <c r="N16" s="5"/>
    </row>
    <row r="17" spans="1:14" ht="15">
      <c r="A17" s="3"/>
      <c r="B17" s="4"/>
      <c r="D17" s="18" t="s">
        <v>14</v>
      </c>
      <c r="E17" s="18" t="s">
        <v>15</v>
      </c>
      <c r="F17" s="5"/>
      <c r="G17" s="11" t="s">
        <v>40</v>
      </c>
      <c r="H17" s="12">
        <f>$B$1</f>
        <v>41310</v>
      </c>
      <c r="I17" s="5"/>
      <c r="J17" s="5"/>
      <c r="K17" s="20" t="s">
        <v>15</v>
      </c>
      <c r="L17" s="21" t="s">
        <v>45</v>
      </c>
      <c r="M17" s="5" t="s">
        <v>42</v>
      </c>
      <c r="N17" s="5" t="s">
        <v>47</v>
      </c>
    </row>
    <row r="18" spans="1:14" ht="15">
      <c r="A18" s="1" t="s">
        <v>25</v>
      </c>
      <c r="B18" s="15" t="s">
        <v>26</v>
      </c>
      <c r="C18" s="16">
        <f>ROW(B18)-ROW($B$18)</f>
        <v>0</v>
      </c>
      <c r="D18" s="17">
        <f t="shared" ref="D18:D31" si="2">CurveTenorDate($B$1,C18)</f>
        <v>41312</v>
      </c>
      <c r="E18" s="51">
        <v>379.24576500000001</v>
      </c>
      <c r="F18" s="5"/>
      <c r="G18" s="33"/>
      <c r="I18" s="5"/>
      <c r="J18" s="5" t="s">
        <v>44</v>
      </c>
      <c r="K18" s="22">
        <f>E18</f>
        <v>379.24576500000001</v>
      </c>
      <c r="L18" s="20" t="s">
        <v>46</v>
      </c>
      <c r="M18" s="13">
        <f>YearFracStr(H17,H19,L18)</f>
        <v>5.4794520547945206E-3</v>
      </c>
      <c r="N18" s="13">
        <f>1/(1+M18*$K$18/10000)</f>
        <v>0.99979223727568955</v>
      </c>
    </row>
    <row r="19" spans="1:14" ht="15">
      <c r="A19" s="1"/>
      <c r="B19" s="15" t="s">
        <v>27</v>
      </c>
      <c r="C19" s="16">
        <f t="shared" ref="C19:C31" si="3">ROW(B19)-ROW($B$18)</f>
        <v>1</v>
      </c>
      <c r="D19" s="17">
        <f t="shared" si="2"/>
        <v>41340</v>
      </c>
      <c r="E19" s="51">
        <v>374.04393500000003</v>
      </c>
      <c r="F19" s="5"/>
      <c r="G19" s="34" t="s">
        <v>41</v>
      </c>
      <c r="H19" s="5">
        <f>D18</f>
        <v>41312</v>
      </c>
      <c r="I19" s="5"/>
      <c r="J19" s="5" t="s">
        <v>43</v>
      </c>
      <c r="K19" s="22">
        <f ca="1">H22</f>
        <v>367.75332843749999</v>
      </c>
      <c r="L19" s="20" t="s">
        <v>46</v>
      </c>
      <c r="M19" s="13">
        <f>YearFracStr(H17,H20,L19)</f>
        <v>0.15342465753424658</v>
      </c>
      <c r="N19" s="13">
        <f ca="1">EXP(-(K19/10000)*M19)</f>
        <v>0.99437364471038314</v>
      </c>
    </row>
    <row r="20" spans="1:14" ht="15">
      <c r="A20" s="1"/>
      <c r="B20" s="15" t="s">
        <v>28</v>
      </c>
      <c r="C20" s="16">
        <f t="shared" si="3"/>
        <v>2</v>
      </c>
      <c r="D20" s="17">
        <f t="shared" si="2"/>
        <v>41372</v>
      </c>
      <c r="E20" s="51">
        <v>366.30165</v>
      </c>
      <c r="F20" s="5"/>
      <c r="G20" s="5" t="s">
        <v>52</v>
      </c>
      <c r="H20" s="19">
        <f>$H$2</f>
        <v>41366</v>
      </c>
      <c r="I20" s="5"/>
      <c r="J20" s="5" t="s">
        <v>56</v>
      </c>
      <c r="K20" s="22">
        <f ca="1">H8</f>
        <v>323.12584589464888</v>
      </c>
      <c r="L20" s="20" t="s">
        <v>46</v>
      </c>
      <c r="M20" s="13">
        <f>YearFracStr(H5,H6,L20)</f>
        <v>0.24931506849315069</v>
      </c>
      <c r="N20" s="13">
        <f ca="1">EXP(-(K20/10000)*M20)</f>
        <v>0.99197634847945115</v>
      </c>
    </row>
    <row r="21" spans="1:14" ht="15.75" thickBot="1">
      <c r="A21" s="1"/>
      <c r="B21" s="15" t="s">
        <v>29</v>
      </c>
      <c r="C21" s="16">
        <f t="shared" si="3"/>
        <v>3</v>
      </c>
      <c r="D21" s="17">
        <f t="shared" si="2"/>
        <v>41401</v>
      </c>
      <c r="E21" s="51">
        <v>362.68097999999998</v>
      </c>
      <c r="F21" s="5"/>
      <c r="I21" s="5"/>
      <c r="J21" s="5"/>
      <c r="K21" s="5"/>
      <c r="M21" s="3"/>
      <c r="N21" s="5"/>
    </row>
    <row r="22" spans="1:14" ht="15.75" thickBot="1">
      <c r="A22" s="1"/>
      <c r="B22" s="15" t="s">
        <v>30</v>
      </c>
      <c r="C22" s="16">
        <f t="shared" si="3"/>
        <v>4</v>
      </c>
      <c r="D22" s="17">
        <f t="shared" si="2"/>
        <v>41493</v>
      </c>
      <c r="E22" s="51">
        <v>347.32421499999998</v>
      </c>
      <c r="F22" s="5"/>
      <c r="G22" s="29" t="s">
        <v>48</v>
      </c>
      <c r="H22" s="35">
        <f ca="1">H24 + YearFracStr(G24,H20,L18)/YearFracStr(G24,G25,L18)*(H25-H24)</f>
        <v>367.75332843749999</v>
      </c>
      <c r="I22" s="14"/>
      <c r="J22" s="5"/>
      <c r="K22" s="5"/>
      <c r="L22" s="5"/>
      <c r="M22" s="3"/>
      <c r="N22" s="5"/>
    </row>
    <row r="23" spans="1:14" ht="15" customHeight="1" thickBot="1">
      <c r="A23" s="1"/>
      <c r="B23" s="15" t="s">
        <v>31</v>
      </c>
      <c r="C23" s="16">
        <f t="shared" si="3"/>
        <v>5</v>
      </c>
      <c r="D23" s="17">
        <f t="shared" si="2"/>
        <v>41585</v>
      </c>
      <c r="E23" s="51">
        <v>332.34462499999995</v>
      </c>
      <c r="F23" s="5"/>
      <c r="G23" s="30" t="s">
        <v>49</v>
      </c>
      <c r="H23" s="31" t="s">
        <v>50</v>
      </c>
      <c r="I23" s="5"/>
      <c r="J23" s="45"/>
      <c r="K23" s="46" t="s">
        <v>55</v>
      </c>
      <c r="L23" s="49">
        <f ca="1">(EXP(0.0001*(H8-M2)*YearFracStr(H5,H6,L18)) -1)*N20*J2*N19</f>
        <v>284.44105901793017</v>
      </c>
      <c r="M23" s="3"/>
      <c r="N23" s="5"/>
    </row>
    <row r="24" spans="1:14" ht="15">
      <c r="A24" s="1"/>
      <c r="B24" s="15" t="s">
        <v>32</v>
      </c>
      <c r="C24" s="16">
        <f t="shared" si="3"/>
        <v>6</v>
      </c>
      <c r="D24" s="17">
        <f t="shared" si="2"/>
        <v>41677</v>
      </c>
      <c r="E24" s="51">
        <v>324.861245</v>
      </c>
      <c r="F24" s="5"/>
      <c r="G24" s="25">
        <f>LOOKUP(H20,D18:D31)</f>
        <v>41340</v>
      </c>
      <c r="H24" s="26">
        <f>VLOOKUP(G24,D18:E31,2,FALSE)</f>
        <v>374.04393500000003</v>
      </c>
      <c r="I24" s="5"/>
      <c r="J24" s="5"/>
      <c r="K24" s="5"/>
      <c r="L24" s="5"/>
      <c r="M24" s="3"/>
      <c r="N24" s="5"/>
    </row>
    <row r="25" spans="1:14" ht="15.75" thickBot="1">
      <c r="A25" s="1"/>
      <c r="B25" s="15" t="s">
        <v>33</v>
      </c>
      <c r="C25" s="16">
        <f t="shared" si="3"/>
        <v>7</v>
      </c>
      <c r="D25" s="17">
        <f t="shared" si="2"/>
        <v>42044</v>
      </c>
      <c r="E25" s="51">
        <v>321.11622499999999</v>
      </c>
      <c r="F25" s="5"/>
      <c r="G25" s="27">
        <f ca="1">OFFSET(D18,MATCH(G24,D18:D31,),0)</f>
        <v>41372</v>
      </c>
      <c r="H25" s="28">
        <f ca="1">VLOOKUP(G25,D18:E31,2,FALSE)</f>
        <v>366.30165</v>
      </c>
      <c r="I25" s="23"/>
      <c r="J25" s="5"/>
      <c r="K25" s="5"/>
      <c r="L25" s="5"/>
      <c r="M25" s="3"/>
      <c r="N25" s="5"/>
    </row>
    <row r="26" spans="1:14" ht="15">
      <c r="A26" s="1"/>
      <c r="B26" s="15" t="s">
        <v>34</v>
      </c>
      <c r="C26" s="16">
        <f t="shared" si="3"/>
        <v>8</v>
      </c>
      <c r="D26" s="17">
        <f t="shared" si="2"/>
        <v>42408</v>
      </c>
      <c r="E26" s="51">
        <v>325.35897</v>
      </c>
      <c r="F26" s="3"/>
      <c r="H26" s="3"/>
      <c r="I26" s="3"/>
      <c r="J26" s="3"/>
      <c r="K26" s="3"/>
      <c r="L26" s="3"/>
      <c r="M26" s="3"/>
      <c r="N26" s="4"/>
    </row>
    <row r="27" spans="1:14" ht="15">
      <c r="A27" s="1"/>
      <c r="B27" s="15" t="s">
        <v>35</v>
      </c>
      <c r="C27" s="16">
        <f t="shared" si="3"/>
        <v>9</v>
      </c>
      <c r="D27" s="17">
        <f t="shared" si="2"/>
        <v>42773</v>
      </c>
      <c r="E27" s="51">
        <v>341.20114999999998</v>
      </c>
      <c r="F27" s="3"/>
      <c r="G27" s="4"/>
      <c r="H27" s="24"/>
      <c r="I27" s="3"/>
      <c r="J27" s="3"/>
      <c r="K27" s="3"/>
      <c r="L27" s="3"/>
      <c r="M27" s="3"/>
      <c r="N27" s="4"/>
    </row>
    <row r="28" spans="1:14" ht="15">
      <c r="A28" s="1"/>
      <c r="B28" s="15" t="s">
        <v>36</v>
      </c>
      <c r="C28" s="16">
        <f t="shared" si="3"/>
        <v>10</v>
      </c>
      <c r="D28" s="17">
        <f t="shared" si="2"/>
        <v>43138</v>
      </c>
      <c r="E28" s="51">
        <v>349.60879</v>
      </c>
      <c r="F28" s="3"/>
      <c r="G28" s="6"/>
      <c r="H28" s="24"/>
      <c r="I28" s="3"/>
      <c r="J28" s="3"/>
      <c r="K28" s="3"/>
      <c r="L28" s="3"/>
      <c r="M28" s="3"/>
      <c r="N28" s="4"/>
    </row>
    <row r="29" spans="1:14" ht="15">
      <c r="A29" s="1"/>
      <c r="B29" s="15" t="s">
        <v>37</v>
      </c>
      <c r="C29" s="16">
        <f t="shared" si="3"/>
        <v>11</v>
      </c>
      <c r="D29" s="17">
        <f t="shared" si="2"/>
        <v>43868</v>
      </c>
      <c r="E29" s="51">
        <v>364.32606999999996</v>
      </c>
      <c r="F29" s="3"/>
      <c r="G29" s="52"/>
      <c r="H29" s="24"/>
      <c r="I29" s="3"/>
      <c r="J29" s="3"/>
      <c r="K29" s="3"/>
      <c r="L29" s="3"/>
      <c r="M29" s="3"/>
      <c r="N29" s="4"/>
    </row>
    <row r="30" spans="1:14" ht="15">
      <c r="A30" s="1"/>
      <c r="B30" s="15" t="s">
        <v>38</v>
      </c>
      <c r="C30" s="16">
        <f t="shared" si="3"/>
        <v>12</v>
      </c>
      <c r="D30" s="17">
        <f t="shared" si="2"/>
        <v>44964</v>
      </c>
      <c r="E30" s="51">
        <v>396.601045</v>
      </c>
      <c r="F30" s="3"/>
      <c r="G30" s="3"/>
      <c r="H30" s="3"/>
      <c r="I30" s="3"/>
      <c r="J30" s="3"/>
      <c r="K30" s="3"/>
      <c r="L30" s="3"/>
      <c r="M30" s="3"/>
      <c r="N30" s="4"/>
    </row>
    <row r="31" spans="1:14" ht="15">
      <c r="A31" s="1"/>
      <c r="B31" s="15" t="s">
        <v>39</v>
      </c>
      <c r="C31" s="16">
        <f t="shared" si="3"/>
        <v>13</v>
      </c>
      <c r="D31" s="17">
        <f t="shared" si="2"/>
        <v>48617</v>
      </c>
      <c r="E31" s="51">
        <v>428.73225500000001</v>
      </c>
      <c r="F31" s="3"/>
      <c r="G31" s="3"/>
      <c r="H31" s="3"/>
      <c r="I31" s="3"/>
      <c r="J31" s="3"/>
      <c r="K31" s="3"/>
      <c r="L31" s="3"/>
      <c r="M31" s="3"/>
      <c r="N31" s="4"/>
    </row>
    <row r="32" spans="1:14" ht="14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4"/>
    </row>
    <row r="33" spans="1:5">
      <c r="A33" s="53" t="s">
        <v>58</v>
      </c>
      <c r="B33" s="53"/>
      <c r="C33" s="53"/>
      <c r="D33" s="53"/>
      <c r="E33" s="53"/>
    </row>
    <row r="34" spans="1:5">
      <c r="A34" s="53"/>
      <c r="B34" s="53"/>
      <c r="C34" s="53"/>
      <c r="D34" s="53"/>
      <c r="E34" s="53"/>
    </row>
    <row r="35" spans="1:5">
      <c r="B35" s="8">
        <f>DATE(2013,2,5)</f>
        <v>41310</v>
      </c>
      <c r="C35" s="9"/>
      <c r="D35" s="18" t="s">
        <v>14</v>
      </c>
      <c r="E35" s="18" t="s">
        <v>15</v>
      </c>
    </row>
    <row r="36" spans="1:5" ht="15">
      <c r="A36" s="1" t="s">
        <v>24</v>
      </c>
      <c r="B36" s="15" t="s">
        <v>0</v>
      </c>
      <c r="C36" s="16">
        <f>C2</f>
        <v>0</v>
      </c>
      <c r="D36" s="17">
        <f>D2</f>
        <v>41312</v>
      </c>
      <c r="E36" s="50">
        <f>E2+1</f>
        <v>360.31397500000003</v>
      </c>
    </row>
    <row r="37" spans="1:5" ht="15">
      <c r="A37" s="1"/>
      <c r="B37" s="15" t="s">
        <v>1</v>
      </c>
      <c r="C37" s="16">
        <f t="shared" ref="C37:D37" si="4">C3</f>
        <v>1</v>
      </c>
      <c r="D37" s="17">
        <f t="shared" si="4"/>
        <v>41340</v>
      </c>
      <c r="E37" s="50">
        <f t="shared" ref="E37:E49" si="5">E3+1</f>
        <v>365.28491499999996</v>
      </c>
    </row>
    <row r="38" spans="1:5" ht="15">
      <c r="A38" s="1"/>
      <c r="B38" s="15" t="s">
        <v>2</v>
      </c>
      <c r="C38" s="16">
        <f t="shared" ref="C38:D38" si="6">C4</f>
        <v>2</v>
      </c>
      <c r="D38" s="17">
        <f t="shared" si="6"/>
        <v>41372</v>
      </c>
      <c r="E38" s="50">
        <f t="shared" si="5"/>
        <v>353.25292999999999</v>
      </c>
    </row>
    <row r="39" spans="1:5" ht="15">
      <c r="A39" s="1"/>
      <c r="B39" s="15" t="s">
        <v>3</v>
      </c>
      <c r="C39" s="16">
        <f t="shared" ref="C39:D39" si="7">C5</f>
        <v>3</v>
      </c>
      <c r="D39" s="17">
        <f t="shared" si="7"/>
        <v>41401</v>
      </c>
      <c r="E39" s="50">
        <f t="shared" si="5"/>
        <v>348.26855499999999</v>
      </c>
    </row>
    <row r="40" spans="1:5" ht="15">
      <c r="A40" s="1"/>
      <c r="B40" s="15" t="s">
        <v>4</v>
      </c>
      <c r="C40" s="16">
        <f t="shared" ref="C40:D40" si="8">C6</f>
        <v>4</v>
      </c>
      <c r="D40" s="17">
        <f t="shared" si="8"/>
        <v>41493</v>
      </c>
      <c r="E40" s="50">
        <f t="shared" si="5"/>
        <v>328.246645</v>
      </c>
    </row>
    <row r="41" spans="1:5" ht="15">
      <c r="A41" s="1"/>
      <c r="B41" s="15" t="s">
        <v>5</v>
      </c>
      <c r="C41" s="16">
        <f t="shared" ref="C41:D41" si="9">C7</f>
        <v>5</v>
      </c>
      <c r="D41" s="17">
        <f t="shared" si="9"/>
        <v>41585</v>
      </c>
      <c r="E41" s="50">
        <f t="shared" si="5"/>
        <v>314.25873000000001</v>
      </c>
    </row>
    <row r="42" spans="1:5" ht="15">
      <c r="A42" s="1"/>
      <c r="B42" s="15" t="s">
        <v>6</v>
      </c>
      <c r="C42" s="16">
        <f t="shared" ref="C42:D42" si="10">C8</f>
        <v>6</v>
      </c>
      <c r="D42" s="17">
        <f t="shared" si="10"/>
        <v>41677</v>
      </c>
      <c r="E42" s="50">
        <f t="shared" si="5"/>
        <v>306.35547500000001</v>
      </c>
    </row>
    <row r="43" spans="1:5" ht="15">
      <c r="A43" s="1"/>
      <c r="B43" s="15" t="s">
        <v>7</v>
      </c>
      <c r="C43" s="16">
        <f t="shared" ref="C43:D43" si="11">C9</f>
        <v>7</v>
      </c>
      <c r="D43" s="17">
        <f t="shared" si="11"/>
        <v>42044</v>
      </c>
      <c r="E43" s="50">
        <f t="shared" si="5"/>
        <v>300.96478000000002</v>
      </c>
    </row>
    <row r="44" spans="1:5" ht="15">
      <c r="A44" s="1"/>
      <c r="B44" s="15" t="s">
        <v>8</v>
      </c>
      <c r="C44" s="16">
        <f t="shared" ref="C44:D44" si="12">C10</f>
        <v>8</v>
      </c>
      <c r="D44" s="17">
        <f t="shared" si="12"/>
        <v>42408</v>
      </c>
      <c r="E44" s="50">
        <f t="shared" si="5"/>
        <v>307.257205</v>
      </c>
    </row>
    <row r="45" spans="1:5" ht="15">
      <c r="A45" s="1"/>
      <c r="B45" s="15" t="s">
        <v>9</v>
      </c>
      <c r="C45" s="16">
        <f t="shared" ref="C45:D45" si="13">C11</f>
        <v>9</v>
      </c>
      <c r="D45" s="17">
        <f t="shared" si="13"/>
        <v>42773</v>
      </c>
      <c r="E45" s="50">
        <f t="shared" si="5"/>
        <v>311.61449500000003</v>
      </c>
    </row>
    <row r="46" spans="1:5" ht="15">
      <c r="A46" s="1"/>
      <c r="B46" s="15" t="s">
        <v>10</v>
      </c>
      <c r="C46" s="16">
        <f t="shared" ref="C46:D46" si="14">C12</f>
        <v>10</v>
      </c>
      <c r="D46" s="17">
        <f t="shared" si="14"/>
        <v>43138</v>
      </c>
      <c r="E46" s="50">
        <f t="shared" si="5"/>
        <v>318.18485999999996</v>
      </c>
    </row>
    <row r="47" spans="1:5" ht="15">
      <c r="A47" s="1"/>
      <c r="B47" s="15" t="s">
        <v>11</v>
      </c>
      <c r="C47" s="16">
        <f t="shared" ref="C47:D47" si="15">C13</f>
        <v>11</v>
      </c>
      <c r="D47" s="17">
        <f t="shared" si="15"/>
        <v>43868</v>
      </c>
      <c r="E47" s="50">
        <f t="shared" si="5"/>
        <v>330.32075999999995</v>
      </c>
    </row>
    <row r="48" spans="1:5" ht="15">
      <c r="A48" s="1"/>
      <c r="B48" s="15" t="s">
        <v>12</v>
      </c>
      <c r="C48" s="16">
        <f t="shared" ref="C48:D48" si="16">C14</f>
        <v>12</v>
      </c>
      <c r="D48" s="17">
        <f t="shared" si="16"/>
        <v>44964</v>
      </c>
      <c r="E48" s="50">
        <f t="shared" si="5"/>
        <v>347.626305</v>
      </c>
    </row>
    <row r="49" spans="1:5" ht="15">
      <c r="A49" s="1"/>
      <c r="B49" s="15" t="s">
        <v>13</v>
      </c>
      <c r="C49" s="16">
        <f t="shared" ref="C49:D49" si="17">C15</f>
        <v>13</v>
      </c>
      <c r="D49" s="17">
        <f t="shared" si="17"/>
        <v>48617</v>
      </c>
      <c r="E49" s="50">
        <f t="shared" si="5"/>
        <v>332.76047999999997</v>
      </c>
    </row>
    <row r="50" spans="1:5" ht="14.25">
      <c r="A50" s="3"/>
      <c r="B50" s="4"/>
      <c r="C50" s="4"/>
      <c r="D50" s="4"/>
      <c r="E50" s="5"/>
    </row>
    <row r="51" spans="1:5" ht="14.25">
      <c r="A51" s="3"/>
      <c r="B51" s="4"/>
      <c r="D51" s="18" t="s">
        <v>14</v>
      </c>
      <c r="E51" s="18" t="s">
        <v>15</v>
      </c>
    </row>
    <row r="52" spans="1:5" ht="15">
      <c r="A52" s="1" t="s">
        <v>25</v>
      </c>
      <c r="B52" s="15" t="s">
        <v>26</v>
      </c>
      <c r="C52" s="16">
        <f>C18</f>
        <v>0</v>
      </c>
      <c r="D52" s="17">
        <f>D18</f>
        <v>41312</v>
      </c>
      <c r="E52" s="50">
        <f>E18+1</f>
        <v>380.24576500000001</v>
      </c>
    </row>
    <row r="53" spans="1:5" ht="15">
      <c r="A53" s="1"/>
      <c r="B53" s="15" t="s">
        <v>27</v>
      </c>
      <c r="C53" s="16">
        <f t="shared" ref="C53:D53" si="18">C19</f>
        <v>1</v>
      </c>
      <c r="D53" s="17">
        <f t="shared" si="18"/>
        <v>41340</v>
      </c>
      <c r="E53" s="50">
        <f t="shared" ref="E53:E65" si="19">E19+1</f>
        <v>375.04393500000003</v>
      </c>
    </row>
    <row r="54" spans="1:5" ht="15">
      <c r="A54" s="1"/>
      <c r="B54" s="15" t="s">
        <v>28</v>
      </c>
      <c r="C54" s="16">
        <f t="shared" ref="C54:D54" si="20">C20</f>
        <v>2</v>
      </c>
      <c r="D54" s="17">
        <f t="shared" si="20"/>
        <v>41372</v>
      </c>
      <c r="E54" s="50">
        <f t="shared" si="19"/>
        <v>367.30165</v>
      </c>
    </row>
    <row r="55" spans="1:5" ht="15">
      <c r="A55" s="1"/>
      <c r="B55" s="15" t="s">
        <v>29</v>
      </c>
      <c r="C55" s="16">
        <f t="shared" ref="C55:D55" si="21">C21</f>
        <v>3</v>
      </c>
      <c r="D55" s="17">
        <f t="shared" si="21"/>
        <v>41401</v>
      </c>
      <c r="E55" s="50">
        <f t="shared" si="19"/>
        <v>363.68097999999998</v>
      </c>
    </row>
    <row r="56" spans="1:5" ht="15">
      <c r="A56" s="1"/>
      <c r="B56" s="15" t="s">
        <v>30</v>
      </c>
      <c r="C56" s="16">
        <f t="shared" ref="C56:D56" si="22">C22</f>
        <v>4</v>
      </c>
      <c r="D56" s="17">
        <f t="shared" si="22"/>
        <v>41493</v>
      </c>
      <c r="E56" s="50">
        <f t="shared" si="19"/>
        <v>348.32421499999998</v>
      </c>
    </row>
    <row r="57" spans="1:5" ht="15">
      <c r="A57" s="1"/>
      <c r="B57" s="15" t="s">
        <v>31</v>
      </c>
      <c r="C57" s="16">
        <f t="shared" ref="C57:D57" si="23">C23</f>
        <v>5</v>
      </c>
      <c r="D57" s="17">
        <f t="shared" si="23"/>
        <v>41585</v>
      </c>
      <c r="E57" s="50">
        <f t="shared" si="19"/>
        <v>333.34462499999995</v>
      </c>
    </row>
    <row r="58" spans="1:5" ht="15">
      <c r="A58" s="1"/>
      <c r="B58" s="15" t="s">
        <v>32</v>
      </c>
      <c r="C58" s="16">
        <f t="shared" ref="C58:D58" si="24">C24</f>
        <v>6</v>
      </c>
      <c r="D58" s="17">
        <f t="shared" si="24"/>
        <v>41677</v>
      </c>
      <c r="E58" s="50">
        <f t="shared" si="19"/>
        <v>325.861245</v>
      </c>
    </row>
    <row r="59" spans="1:5" ht="15">
      <c r="A59" s="1"/>
      <c r="B59" s="15" t="s">
        <v>33</v>
      </c>
      <c r="C59" s="16">
        <f t="shared" ref="C59:D59" si="25">C25</f>
        <v>7</v>
      </c>
      <c r="D59" s="17">
        <f t="shared" si="25"/>
        <v>42044</v>
      </c>
      <c r="E59" s="50">
        <f t="shared" si="19"/>
        <v>322.11622499999999</v>
      </c>
    </row>
    <row r="60" spans="1:5" ht="15">
      <c r="A60" s="1"/>
      <c r="B60" s="15" t="s">
        <v>34</v>
      </c>
      <c r="C60" s="16">
        <f t="shared" ref="C60:D60" si="26">C26</f>
        <v>8</v>
      </c>
      <c r="D60" s="17">
        <f t="shared" si="26"/>
        <v>42408</v>
      </c>
      <c r="E60" s="50">
        <f t="shared" si="19"/>
        <v>326.35897</v>
      </c>
    </row>
    <row r="61" spans="1:5" ht="15">
      <c r="A61" s="1"/>
      <c r="B61" s="15" t="s">
        <v>35</v>
      </c>
      <c r="C61" s="16">
        <f t="shared" ref="C61:D61" si="27">C27</f>
        <v>9</v>
      </c>
      <c r="D61" s="17">
        <f t="shared" si="27"/>
        <v>42773</v>
      </c>
      <c r="E61" s="50">
        <f t="shared" si="19"/>
        <v>342.20114999999998</v>
      </c>
    </row>
    <row r="62" spans="1:5" ht="15">
      <c r="A62" s="1"/>
      <c r="B62" s="15" t="s">
        <v>36</v>
      </c>
      <c r="C62" s="16">
        <f t="shared" ref="C62:D62" si="28">C28</f>
        <v>10</v>
      </c>
      <c r="D62" s="17">
        <f t="shared" si="28"/>
        <v>43138</v>
      </c>
      <c r="E62" s="50">
        <f t="shared" si="19"/>
        <v>350.60879</v>
      </c>
    </row>
    <row r="63" spans="1:5" ht="15">
      <c r="A63" s="1"/>
      <c r="B63" s="15" t="s">
        <v>37</v>
      </c>
      <c r="C63" s="16">
        <f t="shared" ref="C63:D63" si="29">C29</f>
        <v>11</v>
      </c>
      <c r="D63" s="17">
        <f t="shared" si="29"/>
        <v>43868</v>
      </c>
      <c r="E63" s="50">
        <f t="shared" si="19"/>
        <v>365.32606999999996</v>
      </c>
    </row>
    <row r="64" spans="1:5" ht="15">
      <c r="A64" s="1"/>
      <c r="B64" s="15" t="s">
        <v>38</v>
      </c>
      <c r="C64" s="16">
        <f t="shared" ref="C64:D64" si="30">C30</f>
        <v>12</v>
      </c>
      <c r="D64" s="17">
        <f t="shared" si="30"/>
        <v>44964</v>
      </c>
      <c r="E64" s="50">
        <f t="shared" si="19"/>
        <v>397.601045</v>
      </c>
    </row>
    <row r="65" spans="1:5" ht="15">
      <c r="A65" s="1"/>
      <c r="B65" s="15" t="s">
        <v>39</v>
      </c>
      <c r="C65" s="16">
        <f t="shared" ref="C65:D65" si="31">C31</f>
        <v>13</v>
      </c>
      <c r="D65" s="17">
        <f t="shared" si="31"/>
        <v>48617</v>
      </c>
      <c r="E65" s="50">
        <f t="shared" si="19"/>
        <v>429.73225500000001</v>
      </c>
    </row>
  </sheetData>
  <mergeCells count="5">
    <mergeCell ref="A2:A15"/>
    <mergeCell ref="A18:A31"/>
    <mergeCell ref="A33:E34"/>
    <mergeCell ref="A36:A49"/>
    <mergeCell ref="A52:A65"/>
  </mergeCells>
  <phoneticPr fontId="2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2"/>
  <sheetViews>
    <sheetView workbookViewId="0">
      <selection activeCell="I13" sqref="I13"/>
    </sheetView>
  </sheetViews>
  <sheetFormatPr defaultRowHeight="12.75"/>
  <cols>
    <col min="2" max="2" width="11" bestFit="1" customWidth="1"/>
  </cols>
  <sheetData>
    <row r="2" spans="1:2">
      <c r="A2" t="s">
        <v>57</v>
      </c>
      <c r="B2">
        <v>284.44105901793023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Logic</vt:lpstr>
      <vt:lpstr>Temp</vt:lpstr>
    </vt:vector>
  </TitlesOfParts>
  <Company>UniCredit Servizi Informativi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stokowiecw</cp:lastModifiedBy>
  <dcterms:created xsi:type="dcterms:W3CDTF">2014-06-23T08:25:33Z</dcterms:created>
  <dcterms:modified xsi:type="dcterms:W3CDTF">2014-09-03T10:19:04Z</dcterms:modified>
</cp:coreProperties>
</file>